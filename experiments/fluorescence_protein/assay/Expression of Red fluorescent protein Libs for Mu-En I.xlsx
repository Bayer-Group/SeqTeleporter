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FKV\PycharmProjects\seqTeleporter\experiments\fluorescence_protein\assay\"/>
    </mc:Choice>
  </mc:AlternateContent>
  <xr:revisionPtr revIDLastSave="0" documentId="13_ncr:1_{12342590-512C-43DC-AEE6-BE96AE1F147C}" xr6:coauthVersionLast="47" xr6:coauthVersionMax="47" xr10:uidLastSave="{00000000-0000-0000-0000-000000000000}"/>
  <bookViews>
    <workbookView xWindow="-110" yWindow="-110" windowWidth="19420" windowHeight="10300" activeTab="2" xr2:uid="{9A1A7D7E-C2C9-458E-A52A-038685198275}"/>
  </bookViews>
  <sheets>
    <sheet name="CSC I 077" sheetId="1" r:id="rId1"/>
    <sheet name="Medium" sheetId="2" r:id="rId2"/>
    <sheet name="cell lysis" sheetId="3" r:id="rId3"/>
    <sheet name="assa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2" l="1"/>
  <c r="H9" i="2"/>
  <c r="I21" i="2"/>
  <c r="C9" i="2" l="1"/>
</calcChain>
</file>

<file path=xl/sharedStrings.xml><?xml version="1.0" encoding="utf-8"?>
<sst xmlns="http://schemas.openxmlformats.org/spreadsheetml/2006/main" count="825" uniqueCount="114">
  <si>
    <t>pMC-Number</t>
  </si>
  <si>
    <t>A</t>
  </si>
  <si>
    <t>B</t>
  </si>
  <si>
    <t>C</t>
  </si>
  <si>
    <t>D</t>
  </si>
  <si>
    <t>E</t>
  </si>
  <si>
    <t>F</t>
  </si>
  <si>
    <t>G</t>
  </si>
  <si>
    <t>H</t>
  </si>
  <si>
    <t>Comment</t>
  </si>
  <si>
    <t>YNB (10x)</t>
  </si>
  <si>
    <t>ml</t>
  </si>
  <si>
    <t>CSM-Ura (10x)</t>
  </si>
  <si>
    <t>20% glucose</t>
  </si>
  <si>
    <t>20% galactose</t>
  </si>
  <si>
    <t>10% Caseinhydrolysat</t>
  </si>
  <si>
    <t>ddH2O to</t>
  </si>
  <si>
    <t>sterilefiltrated</t>
  </si>
  <si>
    <t>D-(+)-glucose, anhydrous (Thermo Scientific; A16828.0E)</t>
  </si>
  <si>
    <t>g</t>
  </si>
  <si>
    <t>galactose (Acros Organics; 150610010)</t>
  </si>
  <si>
    <t>mL</t>
  </si>
  <si>
    <t>YNB (10x) stock 168 g/L</t>
  </si>
  <si>
    <t>yeast nitrogen base w/ ammonium sulfate (powder; 4027522)</t>
  </si>
  <si>
    <t>H2O_add to mL</t>
  </si>
  <si>
    <t>10% caseinhydrolisat</t>
  </si>
  <si>
    <t>Caseinhydrolysat (standard; AE41.2)</t>
  </si>
  <si>
    <t>10x CSM-Ura</t>
  </si>
  <si>
    <t>CSM-URA (Powder; 4511222)</t>
  </si>
  <si>
    <t>ddH2O_add to</t>
  </si>
  <si>
    <t>YP</t>
  </si>
  <si>
    <t>1M KH2PO4 pH6</t>
  </si>
  <si>
    <t>abs EtOH</t>
  </si>
  <si>
    <t>20 g/L hemoglobin</t>
  </si>
  <si>
    <t xml:space="preserve">YP </t>
  </si>
  <si>
    <t>1M KH2PO4  pH 6</t>
  </si>
  <si>
    <t>sterile filtered</t>
  </si>
  <si>
    <t>Cells</t>
  </si>
  <si>
    <t>Auxotrophy</t>
  </si>
  <si>
    <t>Promotor Gene 1</t>
  </si>
  <si>
    <t>Insert 1</t>
  </si>
  <si>
    <t>Promotor Gene 2</t>
  </si>
  <si>
    <t>Insert 2</t>
  </si>
  <si>
    <t>Size</t>
  </si>
  <si>
    <t>C-term Tag</t>
  </si>
  <si>
    <t>C-term. Tag</t>
  </si>
  <si>
    <t>rifampicin</t>
  </si>
  <si>
    <t>2x SC-Ura with 4% glucose, no galactose</t>
  </si>
  <si>
    <t>0.67 g/100 mL</t>
  </si>
  <si>
    <t>0.2 g/100 mL</t>
  </si>
  <si>
    <t>2 g/100 mL</t>
  </si>
  <si>
    <t>To 100 mL</t>
  </si>
  <si>
    <t>ddH2O</t>
  </si>
  <si>
    <t>Yeast nitrogen base with ammonium sulfate (MP Biomedical 4027522)</t>
  </si>
  <si>
    <t>Yeast Synthetic Dro-out Medium w/o uracil (Sigma Y1501-20G)</t>
  </si>
  <si>
    <t>D(+)-glucose (Sigma K44720042)</t>
  </si>
  <si>
    <t>SD+Glucose (2%); sterilfiltrated</t>
  </si>
  <si>
    <t>Plasmids</t>
  </si>
  <si>
    <t>&amp;</t>
  </si>
  <si>
    <t>cells</t>
  </si>
  <si>
    <t>Experimental</t>
  </si>
  <si>
    <t>Procedures</t>
  </si>
  <si>
    <t>rifampicin [25 mg/ml]</t>
  </si>
  <si>
    <t>SD+Galactose (2%); sterilfiltrated</t>
  </si>
  <si>
    <t>D(+)-galactose (Sigma K34936261)</t>
  </si>
  <si>
    <t>Expression medium*</t>
  </si>
  <si>
    <t>*based on Molina-Espeja et al.; Appl. Environ. Microbiol. 2014, 80, 11, 3496-3507.</t>
  </si>
  <si>
    <t>KH2PO4 [Acros Organics; 424200025]</t>
  </si>
  <si>
    <t>trypton/pepton aus casein [Carl Roth; 8952.3]</t>
  </si>
  <si>
    <t>bacto yeast extract [BD; 212720</t>
  </si>
  <si>
    <t>sterilfiltrated</t>
  </si>
  <si>
    <t>H2O_add to mL; adjust pH with 8M KOH</t>
  </si>
  <si>
    <t xml:space="preserve"> </t>
  </si>
  <si>
    <t>Expression medium [glucose only]</t>
  </si>
  <si>
    <t xml:space="preserve">Aim: </t>
  </si>
  <si>
    <t>LB</t>
  </si>
  <si>
    <t>Expression of red fluorescent protein libs for Mu-En</t>
  </si>
  <si>
    <t>Mutant</t>
  </si>
  <si>
    <t>pAL26962</t>
  </si>
  <si>
    <t>Day 1</t>
  </si>
  <si>
    <t>E. coli BL21 (DE3)</t>
  </si>
  <si>
    <t>Day 2</t>
  </si>
  <si>
    <t xml:space="preserve">	1. 440µL LB (Amp) in 2.5 mL 96-deep well plates.
	2. Inoculated with 50 µl of seed culture
	3. Seal plate with standard breath seal foil 
	4. incubate at 37 °C and 250 rpm for 4 hours. 
	5. induce with 10 µl/well of IPTG (30 mM). ( final conc. = 0.6 mM IPTG)
6. Incubate at 27 °C 250 rpm for 20 h.</t>
  </si>
  <si>
    <t>Day 3</t>
  </si>
  <si>
    <t>Harvested by centrifugaton. Discard supernatant. Stored at -80°C.</t>
  </si>
  <si>
    <t>Transformation to BL21(DE3),  700µL culture LB+Amp  in 2.5mL 96-deep well plate overnight as seed culture. 37°C, 250 rpm overnight.</t>
  </si>
  <si>
    <t>BL21</t>
  </si>
  <si>
    <t>pMC14123</t>
  </si>
  <si>
    <t>not all cultures looks like they have grown ofer night. see overview</t>
  </si>
  <si>
    <t>not all cultures looks like they have grown betwee the 4 h. see overview</t>
  </si>
  <si>
    <t>only 3 cultur without a Pellet</t>
  </si>
  <si>
    <t>C4</t>
  </si>
  <si>
    <t>A4</t>
  </si>
  <si>
    <t>E4</t>
  </si>
  <si>
    <t>G4</t>
  </si>
  <si>
    <t>F5</t>
  </si>
  <si>
    <t>B6</t>
  </si>
  <si>
    <t>empty</t>
  </si>
  <si>
    <t>Mutant 7-12 and repeat</t>
  </si>
  <si>
    <t>repeat 1.run</t>
  </si>
  <si>
    <t>repeat</t>
  </si>
  <si>
    <t>G7</t>
  </si>
  <si>
    <t>H7</t>
  </si>
  <si>
    <t>1µl</t>
  </si>
  <si>
    <t>1,5µl</t>
  </si>
  <si>
    <t>trafo</t>
  </si>
  <si>
    <t>C9</t>
  </si>
  <si>
    <t>C12</t>
  </si>
  <si>
    <t>50ng/µl -2µl</t>
  </si>
  <si>
    <t>~100ng/µl -1µl</t>
  </si>
  <si>
    <t>60ng/µl -2µl</t>
  </si>
  <si>
    <t>plate1</t>
  </si>
  <si>
    <t>plate2</t>
  </si>
  <si>
    <t>plate3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</si>
</sst>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0" fillId="0" borderId="10" xfId="0" applyBorder="1"/>
    <xf numFmtId="0" fontId="3" fillId="0" borderId="12" xfId="0" applyFont="1" applyBorder="1"/>
    <xf numFmtId="0" fontId="3" fillId="0" borderId="13" xfId="0" applyFont="1" applyBorder="1"/>
    <xf numFmtId="0" fontId="0" fillId="0" borderId="9" xfId="0" applyBorder="1"/>
    <xf numFmtId="0" fontId="0" fillId="0" borderId="0" xfId="0" applyAlignment="1">
      <alignment horizontal="left" vertical="top" wrapText="1"/>
    </xf>
    <xf numFmtId="0" fontId="5" fillId="0" borderId="0" xfId="0" applyFont="1"/>
    <xf numFmtId="0" fontId="1" fillId="2" borderId="4" xfId="0" applyFont="1" applyFill="1" applyBorder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5" xfId="0" applyFont="1" applyFill="1" applyBorder="1"/>
    <xf numFmtId="0" fontId="1" fillId="2" borderId="3" xfId="0" applyFont="1" applyFill="1" applyBorder="1"/>
    <xf numFmtId="0" fontId="0" fillId="3" borderId="0" xfId="0" applyFill="1"/>
    <xf numFmtId="0" fontId="1" fillId="4" borderId="3" xfId="0" applyFont="1" applyFill="1" applyBorder="1"/>
    <xf numFmtId="0" fontId="1" fillId="4" borderId="5" xfId="0" applyFont="1" applyFill="1" applyBorder="1"/>
    <xf numFmtId="0" fontId="4" fillId="2" borderId="0" xfId="0" applyFont="1" applyFill="1" applyAlignment="1">
      <alignment vertical="center"/>
    </xf>
    <xf numFmtId="0" fontId="0" fillId="5" borderId="0" xfId="0" applyFill="1"/>
    <xf numFmtId="0" fontId="3" fillId="5" borderId="0" xfId="0" applyFont="1" applyFill="1"/>
    <xf numFmtId="0" fontId="3" fillId="3" borderId="0" xfId="0" applyFont="1" applyFill="1"/>
    <xf numFmtId="0" fontId="2" fillId="0" borderId="10" xfId="0" applyFont="1" applyBorder="1"/>
    <xf numFmtId="0" fontId="1" fillId="4" borderId="11" xfId="0" applyFont="1" applyFill="1" applyBorder="1"/>
    <xf numFmtId="0" fontId="7" fillId="4" borderId="12" xfId="0" applyFont="1" applyFill="1" applyBorder="1"/>
    <xf numFmtId="0" fontId="7" fillId="4" borderId="13" xfId="0" applyFont="1" applyFill="1" applyBorder="1"/>
    <xf numFmtId="0" fontId="0" fillId="0" borderId="11" xfId="0" applyBorder="1"/>
    <xf numFmtId="2" fontId="0" fillId="0" borderId="0" xfId="0" applyNumberFormat="1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14" fontId="0" fillId="0" borderId="0" xfId="0" applyNumberFormat="1"/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20" fontId="0" fillId="0" borderId="0" xfId="0" applyNumberFormat="1"/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2A61-09FA-4563-91E3-6281ABB28265}">
  <dimension ref="A1:X161"/>
  <sheetViews>
    <sheetView zoomScale="85" zoomScaleNormal="85" workbookViewId="0">
      <pane ySplit="1" topLeftCell="A130" activePane="bottomLeft" state="frozen"/>
      <selection pane="bottomLeft" activeCell="G42" sqref="G42"/>
    </sheetView>
  </sheetViews>
  <sheetFormatPr defaultColWidth="10.81640625" defaultRowHeight="14.5" x14ac:dyDescent="0.35"/>
  <cols>
    <col min="1" max="1" width="14.453125" customWidth="1"/>
  </cols>
  <sheetData>
    <row r="1" spans="1:24" s="27" customFormat="1" ht="34.5" customHeight="1" x14ac:dyDescent="0.35">
      <c r="B1" s="27" t="s">
        <v>76</v>
      </c>
    </row>
    <row r="2" spans="1:24" ht="15" hidden="1" thickBot="1" x14ac:dyDescent="0.4">
      <c r="A2" s="28"/>
    </row>
    <row r="3" spans="1:24" ht="15" hidden="1" customHeight="1" x14ac:dyDescent="0.35">
      <c r="A3" s="29" t="s">
        <v>57</v>
      </c>
      <c r="B3" s="50" t="s">
        <v>74</v>
      </c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</row>
    <row r="4" spans="1:24" hidden="1" x14ac:dyDescent="0.35">
      <c r="A4" s="29" t="s">
        <v>58</v>
      </c>
      <c r="B4" s="53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</row>
    <row r="5" spans="1:24" ht="15" hidden="1" thickBot="1" x14ac:dyDescent="0.4">
      <c r="A5" s="29" t="s">
        <v>59</v>
      </c>
      <c r="B5" s="56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8"/>
    </row>
    <row r="6" spans="1:24" hidden="1" x14ac:dyDescent="0.35">
      <c r="A6" s="28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</row>
    <row r="7" spans="1:24" hidden="1" x14ac:dyDescent="0.35">
      <c r="A7" s="28"/>
      <c r="B7" s="59" t="s">
        <v>37</v>
      </c>
      <c r="C7" s="59"/>
      <c r="D7" s="59"/>
      <c r="E7" s="59"/>
      <c r="F7" s="59"/>
      <c r="G7" s="59"/>
    </row>
    <row r="8" spans="1:24" hidden="1" x14ac:dyDescent="0.35">
      <c r="A8" s="28"/>
      <c r="B8" s="18" t="s">
        <v>80</v>
      </c>
    </row>
    <row r="9" spans="1:24" ht="15" hidden="1" thickBot="1" x14ac:dyDescent="0.4">
      <c r="A9" s="28"/>
    </row>
    <row r="10" spans="1:24" hidden="1" x14ac:dyDescent="0.35">
      <c r="A10" s="28"/>
      <c r="B10" s="60" t="s">
        <v>0</v>
      </c>
      <c r="C10" s="61"/>
      <c r="D10" s="23" t="s">
        <v>39</v>
      </c>
      <c r="E10" s="19" t="s">
        <v>40</v>
      </c>
      <c r="F10" s="19" t="s">
        <v>44</v>
      </c>
      <c r="G10" s="22" t="s">
        <v>43</v>
      </c>
      <c r="H10" s="23" t="s">
        <v>41</v>
      </c>
      <c r="I10" s="19" t="s">
        <v>42</v>
      </c>
      <c r="J10" s="19" t="s">
        <v>45</v>
      </c>
      <c r="K10" s="22" t="s">
        <v>43</v>
      </c>
      <c r="L10" s="19" t="s">
        <v>38</v>
      </c>
      <c r="M10" s="22" t="s">
        <v>9</v>
      </c>
    </row>
    <row r="11" spans="1:24" hidden="1" x14ac:dyDescent="0.35">
      <c r="A11" s="28"/>
      <c r="B11" s="20"/>
      <c r="D11" s="9"/>
      <c r="G11" s="10"/>
      <c r="H11" s="9"/>
      <c r="K11" s="10"/>
      <c r="M11" s="10"/>
    </row>
    <row r="12" spans="1:24" hidden="1" x14ac:dyDescent="0.35">
      <c r="A12" s="28"/>
      <c r="B12" s="20"/>
      <c r="D12" s="9"/>
      <c r="G12" s="10"/>
      <c r="H12" s="9"/>
      <c r="K12" s="10"/>
      <c r="M12" s="10"/>
    </row>
    <row r="13" spans="1:24" hidden="1" x14ac:dyDescent="0.35">
      <c r="A13" s="28"/>
      <c r="B13" s="20"/>
      <c r="D13" s="9"/>
      <c r="G13" s="10"/>
      <c r="H13" s="9"/>
      <c r="K13" s="10"/>
      <c r="M13" s="10"/>
    </row>
    <row r="14" spans="1:24" hidden="1" x14ac:dyDescent="0.35">
      <c r="A14" s="28"/>
      <c r="B14" s="20"/>
      <c r="D14" s="9"/>
      <c r="G14" s="10"/>
      <c r="H14" s="9"/>
      <c r="K14" s="10"/>
      <c r="M14" s="10"/>
    </row>
    <row r="15" spans="1:24" hidden="1" x14ac:dyDescent="0.35">
      <c r="A15" s="28"/>
      <c r="B15" s="20"/>
      <c r="D15" s="9"/>
      <c r="G15" s="10"/>
      <c r="H15" s="9"/>
      <c r="K15" s="10"/>
      <c r="M15" s="10"/>
    </row>
    <row r="16" spans="1:24" hidden="1" x14ac:dyDescent="0.35">
      <c r="A16" s="28"/>
      <c r="B16" s="20"/>
      <c r="D16" s="9"/>
      <c r="G16" s="10"/>
      <c r="H16" s="9"/>
      <c r="K16" s="10"/>
      <c r="M16" s="10"/>
    </row>
    <row r="17" spans="1:24" hidden="1" x14ac:dyDescent="0.35">
      <c r="A17" s="28"/>
      <c r="B17" s="20"/>
      <c r="D17" s="9"/>
      <c r="G17" s="10"/>
      <c r="H17" s="9"/>
      <c r="K17" s="10"/>
      <c r="M17" s="10"/>
    </row>
    <row r="18" spans="1:24" hidden="1" x14ac:dyDescent="0.35">
      <c r="A18" s="28"/>
      <c r="B18" s="20"/>
      <c r="D18" s="9"/>
      <c r="G18" s="10"/>
      <c r="H18" s="9"/>
      <c r="K18" s="10"/>
      <c r="M18" s="10"/>
    </row>
    <row r="19" spans="1:24" ht="15" hidden="1" thickBot="1" x14ac:dyDescent="0.4">
      <c r="A19" s="28"/>
      <c r="B19" s="21"/>
      <c r="C19" s="16"/>
      <c r="D19" s="11"/>
      <c r="E19" s="16"/>
      <c r="F19" s="16"/>
      <c r="G19" s="13"/>
      <c r="H19" s="11"/>
      <c r="I19" s="16"/>
      <c r="J19" s="16"/>
      <c r="K19" s="13"/>
      <c r="L19" s="16"/>
      <c r="M19" s="13"/>
    </row>
    <row r="20" spans="1:24" hidden="1" x14ac:dyDescent="0.35">
      <c r="A20" s="28"/>
    </row>
    <row r="21" spans="1:24" x14ac:dyDescent="0.35">
      <c r="A21" s="24"/>
      <c r="B21" s="1" t="s">
        <v>79</v>
      </c>
      <c r="C21" s="39">
        <v>45615</v>
      </c>
    </row>
    <row r="22" spans="1:24" ht="15" thickBot="1" x14ac:dyDescent="0.4">
      <c r="A22" s="30" t="s">
        <v>60</v>
      </c>
    </row>
    <row r="23" spans="1:24" x14ac:dyDescent="0.35">
      <c r="A23" s="30" t="s">
        <v>61</v>
      </c>
      <c r="B23" s="50" t="s">
        <v>85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2"/>
    </row>
    <row r="24" spans="1:24" ht="15" thickBot="1" x14ac:dyDescent="0.4">
      <c r="A24" s="24"/>
      <c r="B24" s="56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8"/>
    </row>
    <row r="25" spans="1:24" x14ac:dyDescent="0.35">
      <c r="A25" s="24"/>
    </row>
    <row r="26" spans="1:24" x14ac:dyDescent="0.35">
      <c r="A26" s="24"/>
    </row>
    <row r="27" spans="1:24" x14ac:dyDescent="0.35">
      <c r="A27" s="24"/>
    </row>
    <row r="28" spans="1:24" x14ac:dyDescent="0.35">
      <c r="A28" s="24"/>
    </row>
    <row r="29" spans="1:24" ht="15" thickBot="1" x14ac:dyDescent="0.4">
      <c r="A29" s="24"/>
      <c r="C29" s="2"/>
      <c r="D29" s="2">
        <v>1</v>
      </c>
      <c r="E29" s="2">
        <v>2</v>
      </c>
      <c r="F29" s="2">
        <v>3</v>
      </c>
      <c r="G29" s="2">
        <v>4</v>
      </c>
      <c r="H29" s="2">
        <v>5</v>
      </c>
      <c r="I29" s="2">
        <v>6</v>
      </c>
      <c r="J29" s="2">
        <v>7</v>
      </c>
      <c r="K29" s="2">
        <v>8</v>
      </c>
      <c r="L29" s="2">
        <v>9</v>
      </c>
      <c r="M29" s="2">
        <v>10</v>
      </c>
      <c r="N29" s="2">
        <v>11</v>
      </c>
      <c r="O29" s="2">
        <v>12</v>
      </c>
      <c r="P29" s="3" t="s">
        <v>9</v>
      </c>
    </row>
    <row r="30" spans="1:24" x14ac:dyDescent="0.35">
      <c r="A30" s="24"/>
      <c r="C30" s="3" t="s">
        <v>1</v>
      </c>
      <c r="D30" s="4" t="s">
        <v>77</v>
      </c>
      <c r="E30" s="4" t="s">
        <v>77</v>
      </c>
      <c r="F30" s="4" t="s">
        <v>77</v>
      </c>
      <c r="G30" s="40" t="s">
        <v>77</v>
      </c>
      <c r="H30" s="4" t="s">
        <v>77</v>
      </c>
      <c r="I30" s="4" t="s">
        <v>77</v>
      </c>
      <c r="J30" s="40" t="s">
        <v>87</v>
      </c>
      <c r="K30" s="4"/>
      <c r="L30" s="4"/>
      <c r="M30" s="4"/>
      <c r="N30" s="4"/>
      <c r="O30" s="4"/>
    </row>
    <row r="31" spans="1:24" ht="15" thickBot="1" x14ac:dyDescent="0.4">
      <c r="A31" s="24"/>
      <c r="C31" s="3"/>
      <c r="D31" s="5"/>
      <c r="E31" s="5"/>
      <c r="F31" s="5"/>
      <c r="G31" s="5"/>
      <c r="H31" s="5"/>
      <c r="I31" s="5"/>
      <c r="J31" s="41"/>
      <c r="K31" s="5"/>
      <c r="L31" s="5"/>
      <c r="M31" s="5"/>
      <c r="N31" s="5"/>
      <c r="O31" s="5"/>
      <c r="P31" s="18"/>
    </row>
    <row r="32" spans="1:24" x14ac:dyDescent="0.35">
      <c r="A32" s="24"/>
      <c r="C32" s="3" t="s">
        <v>2</v>
      </c>
      <c r="D32" s="4" t="s">
        <v>77</v>
      </c>
      <c r="E32" s="4" t="s">
        <v>77</v>
      </c>
      <c r="F32" s="4" t="s">
        <v>77</v>
      </c>
      <c r="G32" s="4" t="s">
        <v>77</v>
      </c>
      <c r="H32" s="4" t="s">
        <v>77</v>
      </c>
      <c r="I32" s="42" t="s">
        <v>77</v>
      </c>
      <c r="J32" s="40" t="s">
        <v>87</v>
      </c>
      <c r="K32" s="4"/>
      <c r="L32" s="4"/>
      <c r="M32" s="4"/>
      <c r="N32" s="4"/>
      <c r="O32" s="4"/>
    </row>
    <row r="33" spans="1:24" ht="15" thickBot="1" x14ac:dyDescent="0.4">
      <c r="A33" s="24"/>
      <c r="C33" s="3"/>
      <c r="D33" s="5"/>
      <c r="E33" s="5"/>
      <c r="F33" s="5"/>
      <c r="G33" s="5"/>
      <c r="H33" s="5"/>
      <c r="I33" s="5"/>
      <c r="J33" s="41"/>
      <c r="K33" s="5"/>
      <c r="L33" s="5"/>
      <c r="M33" s="5"/>
      <c r="N33" s="5"/>
      <c r="O33" s="5"/>
      <c r="P33" s="18"/>
    </row>
    <row r="34" spans="1:24" x14ac:dyDescent="0.35">
      <c r="A34" s="24"/>
      <c r="C34" s="3" t="s">
        <v>3</v>
      </c>
      <c r="D34" s="4" t="s">
        <v>77</v>
      </c>
      <c r="E34" s="4" t="s">
        <v>77</v>
      </c>
      <c r="F34" s="4" t="s">
        <v>77</v>
      </c>
      <c r="G34" s="40" t="s">
        <v>77</v>
      </c>
      <c r="H34" s="4" t="s">
        <v>77</v>
      </c>
      <c r="I34" s="4" t="s">
        <v>77</v>
      </c>
      <c r="J34" s="47" t="s">
        <v>86</v>
      </c>
      <c r="K34" s="4"/>
      <c r="L34" s="4"/>
      <c r="M34" s="4"/>
      <c r="N34" s="4"/>
      <c r="O34" s="4"/>
    </row>
    <row r="35" spans="1:24" ht="15" thickBot="1" x14ac:dyDescent="0.4">
      <c r="A35" s="24"/>
      <c r="C35" s="3"/>
      <c r="D35" s="5"/>
      <c r="E35" s="5"/>
      <c r="F35" s="5"/>
      <c r="G35" s="41"/>
      <c r="H35" s="5"/>
      <c r="I35" s="5"/>
      <c r="J35" s="48"/>
      <c r="K35" s="5"/>
      <c r="L35" s="5"/>
      <c r="M35" s="5"/>
      <c r="N35" s="5"/>
      <c r="O35" s="5"/>
      <c r="P35" s="18"/>
    </row>
    <row r="36" spans="1:24" x14ac:dyDescent="0.35">
      <c r="A36" s="24"/>
      <c r="C36" s="3" t="s">
        <v>4</v>
      </c>
      <c r="D36" s="4" t="s">
        <v>77</v>
      </c>
      <c r="E36" s="4" t="s">
        <v>77</v>
      </c>
      <c r="F36" s="4" t="s">
        <v>77</v>
      </c>
      <c r="G36" s="4" t="s">
        <v>77</v>
      </c>
      <c r="H36" s="4" t="s">
        <v>77</v>
      </c>
      <c r="I36" s="4" t="s">
        <v>77</v>
      </c>
      <c r="J36" s="47" t="s">
        <v>86</v>
      </c>
      <c r="K36" s="4"/>
      <c r="L36" s="4"/>
      <c r="M36" s="4"/>
      <c r="N36" s="4"/>
      <c r="O36" s="4"/>
    </row>
    <row r="37" spans="1:24" ht="15" thickBot="1" x14ac:dyDescent="0.4">
      <c r="A37" s="24"/>
      <c r="C37" s="3"/>
      <c r="D37" s="5"/>
      <c r="E37" s="5"/>
      <c r="F37" s="5"/>
      <c r="G37" s="5"/>
      <c r="H37" s="5"/>
      <c r="I37" s="5"/>
      <c r="J37" s="48"/>
      <c r="K37" s="5"/>
      <c r="L37" s="5"/>
      <c r="M37" s="5"/>
      <c r="N37" s="5"/>
      <c r="O37" s="5"/>
      <c r="P37" s="18"/>
    </row>
    <row r="38" spans="1:24" x14ac:dyDescent="0.35">
      <c r="A38" s="24"/>
      <c r="C38" s="3" t="s">
        <v>5</v>
      </c>
      <c r="D38" s="4" t="s">
        <v>77</v>
      </c>
      <c r="E38" s="4" t="s">
        <v>77</v>
      </c>
      <c r="F38" s="4" t="s">
        <v>77</v>
      </c>
      <c r="G38" s="40" t="s">
        <v>77</v>
      </c>
      <c r="H38" s="4" t="s">
        <v>77</v>
      </c>
      <c r="I38" s="4" t="s">
        <v>77</v>
      </c>
      <c r="J38" s="4" t="s">
        <v>78</v>
      </c>
      <c r="K38" s="4"/>
      <c r="L38" s="4"/>
      <c r="M38" s="4"/>
      <c r="N38" s="4"/>
      <c r="O38" s="4"/>
    </row>
    <row r="39" spans="1:24" ht="15" thickBot="1" x14ac:dyDescent="0.4">
      <c r="A39" s="24"/>
      <c r="C39" s="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18"/>
    </row>
    <row r="40" spans="1:24" x14ac:dyDescent="0.35">
      <c r="A40" s="24"/>
      <c r="C40" s="3" t="s">
        <v>6</v>
      </c>
      <c r="D40" s="4" t="s">
        <v>77</v>
      </c>
      <c r="E40" s="4" t="s">
        <v>77</v>
      </c>
      <c r="F40" s="4" t="s">
        <v>77</v>
      </c>
      <c r="G40" s="4" t="s">
        <v>77</v>
      </c>
      <c r="H40" s="40" t="s">
        <v>77</v>
      </c>
      <c r="I40" s="4" t="s">
        <v>77</v>
      </c>
      <c r="J40" s="4" t="s">
        <v>78</v>
      </c>
      <c r="K40" s="4"/>
      <c r="L40" s="4"/>
      <c r="M40" s="4"/>
      <c r="N40" s="4"/>
      <c r="O40" s="4"/>
    </row>
    <row r="41" spans="1:24" ht="15" thickBot="1" x14ac:dyDescent="0.4">
      <c r="A41" s="24"/>
      <c r="C41" s="3"/>
      <c r="D41" s="5"/>
      <c r="E41" s="5"/>
      <c r="F41" s="5"/>
      <c r="G41" s="5"/>
      <c r="H41" s="41"/>
      <c r="I41" s="5"/>
      <c r="J41" s="5"/>
      <c r="K41" s="5"/>
      <c r="L41" s="5"/>
      <c r="M41" s="5"/>
      <c r="N41" s="5"/>
      <c r="O41" s="5"/>
      <c r="P41" s="18"/>
    </row>
    <row r="42" spans="1:24" x14ac:dyDescent="0.35">
      <c r="A42" s="24"/>
      <c r="C42" s="3" t="s">
        <v>7</v>
      </c>
      <c r="D42" s="4" t="s">
        <v>77</v>
      </c>
      <c r="E42" s="47" t="s">
        <v>97</v>
      </c>
      <c r="F42" s="4" t="s">
        <v>77</v>
      </c>
      <c r="G42" s="40" t="s">
        <v>77</v>
      </c>
      <c r="H42" s="4" t="s">
        <v>77</v>
      </c>
      <c r="I42" s="4" t="s">
        <v>77</v>
      </c>
      <c r="J42" s="47" t="s">
        <v>75</v>
      </c>
      <c r="K42" s="4"/>
      <c r="L42" s="4"/>
      <c r="M42" s="4"/>
      <c r="N42" s="4"/>
      <c r="O42" s="4"/>
    </row>
    <row r="43" spans="1:24" ht="15" thickBot="1" x14ac:dyDescent="0.4">
      <c r="A43" s="24"/>
      <c r="C43" s="3"/>
      <c r="D43" s="5"/>
      <c r="E43" s="48"/>
      <c r="F43" s="5"/>
      <c r="G43" s="5"/>
      <c r="H43" s="5"/>
      <c r="I43" s="5"/>
      <c r="J43" s="48"/>
      <c r="K43" s="5"/>
      <c r="L43" s="5"/>
      <c r="M43" s="5"/>
      <c r="N43" s="5"/>
      <c r="O43" s="5"/>
    </row>
    <row r="44" spans="1:24" x14ac:dyDescent="0.35">
      <c r="A44" s="24"/>
      <c r="C44" s="3" t="s">
        <v>8</v>
      </c>
      <c r="D44" s="4" t="s">
        <v>77</v>
      </c>
      <c r="E44" s="4" t="s">
        <v>77</v>
      </c>
      <c r="F44" s="4" t="s">
        <v>77</v>
      </c>
      <c r="G44" s="4" t="s">
        <v>77</v>
      </c>
      <c r="H44" s="4" t="s">
        <v>77</v>
      </c>
      <c r="I44" s="4" t="s">
        <v>77</v>
      </c>
      <c r="J44" s="47" t="s">
        <v>75</v>
      </c>
      <c r="K44" s="4"/>
      <c r="L44" s="4"/>
      <c r="M44" s="4"/>
      <c r="N44" s="4"/>
      <c r="O44" s="4"/>
    </row>
    <row r="45" spans="1:24" ht="15" thickBot="1" x14ac:dyDescent="0.4">
      <c r="A45" s="24"/>
      <c r="C45" s="3"/>
      <c r="D45" s="5"/>
      <c r="E45" s="5"/>
      <c r="F45" s="5"/>
      <c r="G45" s="5"/>
      <c r="H45" s="5"/>
      <c r="I45" s="5"/>
      <c r="J45" s="48"/>
      <c r="K45" s="5"/>
      <c r="L45" s="5"/>
      <c r="M45" s="5"/>
      <c r="N45" s="5"/>
      <c r="O45" s="5"/>
    </row>
    <row r="46" spans="1:24" x14ac:dyDescent="0.35">
      <c r="A46" s="24"/>
    </row>
    <row r="47" spans="1:24" ht="15" thickBot="1" x14ac:dyDescent="0.4">
      <c r="A47" s="24"/>
      <c r="B47" s="1" t="s">
        <v>81</v>
      </c>
      <c r="C47" s="43">
        <v>45616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</row>
    <row r="48" spans="1:24" x14ac:dyDescent="0.35">
      <c r="A48" s="24"/>
      <c r="B48" s="37" t="s">
        <v>88</v>
      </c>
      <c r="C48" s="37"/>
      <c r="D48" s="37"/>
      <c r="E48" s="37"/>
      <c r="F48" s="37"/>
      <c r="G48" s="37"/>
      <c r="H48" s="40" t="s">
        <v>77</v>
      </c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</row>
    <row r="49" spans="1:24" ht="15" thickBot="1" x14ac:dyDescent="0.4">
      <c r="A49" s="24"/>
      <c r="B49" s="37"/>
      <c r="C49" s="37"/>
      <c r="D49" s="37"/>
      <c r="E49" s="37"/>
      <c r="F49" s="37"/>
      <c r="G49" s="37"/>
      <c r="H49" s="5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</row>
    <row r="50" spans="1:24" ht="15" thickBot="1" x14ac:dyDescent="0.4">
      <c r="A50" s="24"/>
      <c r="B50" s="37"/>
      <c r="C50" s="37"/>
      <c r="D50" s="37"/>
      <c r="E50" s="37"/>
      <c r="F50" s="37"/>
      <c r="G50" s="37"/>
      <c r="H50" s="44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</row>
    <row r="51" spans="1:24" x14ac:dyDescent="0.35">
      <c r="A51" s="24"/>
      <c r="B51" s="50" t="s">
        <v>82</v>
      </c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2"/>
    </row>
    <row r="52" spans="1:24" x14ac:dyDescent="0.35">
      <c r="A52" s="24"/>
      <c r="B52" s="53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5"/>
    </row>
    <row r="53" spans="1:24" x14ac:dyDescent="0.35">
      <c r="A53" s="24"/>
      <c r="B53" s="53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5"/>
    </row>
    <row r="54" spans="1:24" ht="45" customHeight="1" thickBot="1" x14ac:dyDescent="0.4">
      <c r="A54" s="24"/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8"/>
    </row>
    <row r="55" spans="1:24" ht="15" thickBot="1" x14ac:dyDescent="0.4">
      <c r="A55" s="24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</row>
    <row r="56" spans="1:24" x14ac:dyDescent="0.35">
      <c r="A56" s="24"/>
      <c r="B56" s="37" t="s">
        <v>89</v>
      </c>
      <c r="C56" s="37"/>
      <c r="D56" s="37"/>
      <c r="E56" s="37"/>
      <c r="F56" s="37"/>
      <c r="G56" s="37"/>
      <c r="H56" s="4" t="s">
        <v>77</v>
      </c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</row>
    <row r="57" spans="1:24" ht="15" thickBot="1" x14ac:dyDescent="0.4">
      <c r="A57" s="24"/>
      <c r="B57" s="37"/>
      <c r="C57" s="37"/>
      <c r="D57" s="37"/>
      <c r="E57" s="37"/>
      <c r="F57" s="37"/>
      <c r="G57" s="37"/>
      <c r="H57" s="41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</row>
    <row r="58" spans="1:24" x14ac:dyDescent="0.35">
      <c r="A58" s="24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</row>
    <row r="59" spans="1:24" x14ac:dyDescent="0.35">
      <c r="A59" s="24"/>
      <c r="B59" s="38" t="s">
        <v>83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</row>
    <row r="60" spans="1:24" x14ac:dyDescent="0.35">
      <c r="A60" s="24"/>
      <c r="B60" s="37" t="s">
        <v>84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</row>
    <row r="61" spans="1:24" x14ac:dyDescent="0.35">
      <c r="A61" s="24"/>
      <c r="B61" s="37" t="s">
        <v>90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</row>
    <row r="62" spans="1:24" x14ac:dyDescent="0.35">
      <c r="A62" s="24"/>
    </row>
    <row r="63" spans="1:24" ht="15" thickBot="1" x14ac:dyDescent="0.4">
      <c r="A63" s="24"/>
      <c r="C63" s="2"/>
      <c r="D63" s="2">
        <v>1</v>
      </c>
      <c r="E63" s="2">
        <v>2</v>
      </c>
      <c r="F63" s="2">
        <v>3</v>
      </c>
      <c r="G63" s="2">
        <v>4</v>
      </c>
      <c r="H63" s="2">
        <v>5</v>
      </c>
      <c r="I63" s="2">
        <v>6</v>
      </c>
      <c r="J63" s="2">
        <v>7</v>
      </c>
    </row>
    <row r="64" spans="1:24" x14ac:dyDescent="0.35">
      <c r="A64" s="24"/>
      <c r="C64" s="3" t="s">
        <v>1</v>
      </c>
      <c r="D64" s="4" t="s">
        <v>77</v>
      </c>
      <c r="E64" s="4" t="s">
        <v>77</v>
      </c>
      <c r="F64" s="4" t="s">
        <v>77</v>
      </c>
      <c r="G64" s="45" t="s">
        <v>77</v>
      </c>
      <c r="H64" s="4" t="s">
        <v>77</v>
      </c>
      <c r="I64" s="4" t="s">
        <v>77</v>
      </c>
      <c r="J64" s="40" t="s">
        <v>87</v>
      </c>
    </row>
    <row r="65" spans="1:15" ht="15" thickBot="1" x14ac:dyDescent="0.4">
      <c r="A65" s="24"/>
      <c r="C65" s="3"/>
      <c r="D65" s="5"/>
      <c r="E65" s="5"/>
      <c r="F65" s="5"/>
      <c r="G65" s="5"/>
      <c r="H65" s="5"/>
      <c r="I65" s="5"/>
      <c r="J65" s="41"/>
    </row>
    <row r="66" spans="1:15" x14ac:dyDescent="0.35">
      <c r="A66" s="24"/>
      <c r="C66" s="3" t="s">
        <v>2</v>
      </c>
      <c r="D66" s="4" t="s">
        <v>77</v>
      </c>
      <c r="E66" s="4" t="s">
        <v>77</v>
      </c>
      <c r="F66" s="4" t="s">
        <v>77</v>
      </c>
      <c r="G66" s="4" t="s">
        <v>77</v>
      </c>
      <c r="H66" s="4" t="s">
        <v>77</v>
      </c>
      <c r="I66" s="45" t="s">
        <v>77</v>
      </c>
      <c r="J66" s="45" t="s">
        <v>87</v>
      </c>
    </row>
    <row r="67" spans="1:15" ht="15" thickBot="1" x14ac:dyDescent="0.4">
      <c r="A67" s="24"/>
      <c r="C67" s="3"/>
      <c r="D67" s="5"/>
      <c r="E67" s="5"/>
      <c r="F67" s="5"/>
      <c r="G67" s="5"/>
      <c r="H67" s="5"/>
      <c r="I67" s="5"/>
      <c r="J67" s="46"/>
    </row>
    <row r="68" spans="1:15" x14ac:dyDescent="0.35">
      <c r="A68" s="24"/>
      <c r="C68" s="3" t="s">
        <v>3</v>
      </c>
      <c r="D68" s="4" t="s">
        <v>77</v>
      </c>
      <c r="E68" s="4" t="s">
        <v>77</v>
      </c>
      <c r="F68" s="4" t="s">
        <v>77</v>
      </c>
      <c r="G68" s="40" t="s">
        <v>77</v>
      </c>
      <c r="H68" s="4" t="s">
        <v>77</v>
      </c>
      <c r="I68" s="4" t="s">
        <v>77</v>
      </c>
      <c r="J68" s="47" t="s">
        <v>86</v>
      </c>
    </row>
    <row r="69" spans="1:15" ht="15" thickBot="1" x14ac:dyDescent="0.4">
      <c r="A69" s="24"/>
      <c r="C69" s="3"/>
      <c r="D69" s="5"/>
      <c r="E69" s="5"/>
      <c r="F69" s="5"/>
      <c r="G69" s="41"/>
      <c r="H69" s="5"/>
      <c r="I69" s="5"/>
      <c r="J69" s="48"/>
    </row>
    <row r="70" spans="1:15" x14ac:dyDescent="0.35">
      <c r="A70" s="24"/>
      <c r="C70" s="3" t="s">
        <v>4</v>
      </c>
      <c r="D70" s="4" t="s">
        <v>77</v>
      </c>
      <c r="E70" s="4" t="s">
        <v>77</v>
      </c>
      <c r="F70" s="4" t="s">
        <v>77</v>
      </c>
      <c r="G70" s="4" t="s">
        <v>77</v>
      </c>
      <c r="H70" s="4" t="s">
        <v>77</v>
      </c>
      <c r="I70" s="4" t="s">
        <v>77</v>
      </c>
      <c r="J70" s="47" t="s">
        <v>86</v>
      </c>
      <c r="L70" s="36"/>
      <c r="M70" s="36"/>
      <c r="O70" s="18"/>
    </row>
    <row r="71" spans="1:15" ht="15" thickBot="1" x14ac:dyDescent="0.4">
      <c r="A71" s="24"/>
      <c r="C71" s="3"/>
      <c r="D71" s="5"/>
      <c r="E71" s="5"/>
      <c r="F71" s="5"/>
      <c r="G71" s="5"/>
      <c r="H71" s="5"/>
      <c r="I71" s="5"/>
      <c r="J71" s="48"/>
      <c r="L71" s="36"/>
      <c r="M71" s="36"/>
    </row>
    <row r="72" spans="1:15" x14ac:dyDescent="0.35">
      <c r="A72" s="24"/>
      <c r="C72" s="3" t="s">
        <v>5</v>
      </c>
      <c r="D72" s="4" t="s">
        <v>77</v>
      </c>
      <c r="E72" s="4" t="s">
        <v>77</v>
      </c>
      <c r="F72" s="4" t="s">
        <v>77</v>
      </c>
      <c r="G72" s="45" t="s">
        <v>77</v>
      </c>
      <c r="H72" s="4" t="s">
        <v>77</v>
      </c>
      <c r="I72" s="4" t="s">
        <v>77</v>
      </c>
      <c r="J72" s="4" t="s">
        <v>78</v>
      </c>
      <c r="L72" s="36"/>
      <c r="M72" s="36"/>
      <c r="O72" s="18"/>
    </row>
    <row r="73" spans="1:15" ht="15" thickBot="1" x14ac:dyDescent="0.4">
      <c r="A73" s="24"/>
      <c r="C73" s="3"/>
      <c r="D73" s="5"/>
      <c r="E73" s="5"/>
      <c r="F73" s="5"/>
      <c r="G73" s="5"/>
      <c r="H73" s="5"/>
      <c r="I73" s="5"/>
      <c r="J73" s="5"/>
      <c r="L73" s="36"/>
      <c r="M73" s="36"/>
      <c r="N73" s="36"/>
    </row>
    <row r="74" spans="1:15" x14ac:dyDescent="0.35">
      <c r="A74" s="24"/>
      <c r="C74" s="3" t="s">
        <v>6</v>
      </c>
      <c r="D74" s="4" t="s">
        <v>77</v>
      </c>
      <c r="E74" s="4" t="s">
        <v>77</v>
      </c>
      <c r="F74" s="4" t="s">
        <v>77</v>
      </c>
      <c r="G74" s="4" t="s">
        <v>77</v>
      </c>
      <c r="H74" s="45" t="s">
        <v>77</v>
      </c>
      <c r="I74" s="4" t="s">
        <v>77</v>
      </c>
      <c r="J74" s="4" t="s">
        <v>78</v>
      </c>
      <c r="L74" s="36"/>
      <c r="M74" s="36"/>
      <c r="N74" s="36"/>
      <c r="O74" s="18"/>
    </row>
    <row r="75" spans="1:15" ht="15" thickBot="1" x14ac:dyDescent="0.4">
      <c r="A75" s="24"/>
      <c r="C75" s="3"/>
      <c r="D75" s="5"/>
      <c r="E75" s="5"/>
      <c r="F75" s="5"/>
      <c r="G75" s="5"/>
      <c r="H75" s="46"/>
      <c r="I75" s="5"/>
      <c r="J75" s="5"/>
    </row>
    <row r="76" spans="1:15" x14ac:dyDescent="0.35">
      <c r="A76" s="24"/>
      <c r="C76" s="3" t="s">
        <v>7</v>
      </c>
      <c r="D76" s="4" t="s">
        <v>77</v>
      </c>
      <c r="E76" s="47" t="s">
        <v>97</v>
      </c>
      <c r="F76" s="4" t="s">
        <v>77</v>
      </c>
      <c r="G76" s="45" t="s">
        <v>77</v>
      </c>
      <c r="H76" s="4" t="s">
        <v>77</v>
      </c>
      <c r="I76" s="4" t="s">
        <v>77</v>
      </c>
      <c r="J76" s="47" t="s">
        <v>75</v>
      </c>
      <c r="O76" s="18"/>
    </row>
    <row r="77" spans="1:15" ht="15" thickBot="1" x14ac:dyDescent="0.4">
      <c r="A77" s="24"/>
      <c r="C77" s="3"/>
      <c r="D77" s="5"/>
      <c r="E77" s="48"/>
      <c r="F77" s="5"/>
      <c r="G77" s="5"/>
      <c r="H77" s="5"/>
      <c r="I77" s="5"/>
      <c r="J77" s="48"/>
    </row>
    <row r="78" spans="1:15" x14ac:dyDescent="0.35">
      <c r="A78" s="24"/>
      <c r="C78" s="3" t="s">
        <v>8</v>
      </c>
      <c r="D78" s="4" t="s">
        <v>77</v>
      </c>
      <c r="E78" s="4" t="s">
        <v>77</v>
      </c>
      <c r="F78" s="4" t="s">
        <v>77</v>
      </c>
      <c r="G78" s="4" t="s">
        <v>77</v>
      </c>
      <c r="H78" s="4" t="s">
        <v>77</v>
      </c>
      <c r="I78" s="4" t="s">
        <v>77</v>
      </c>
      <c r="J78" s="47" t="s">
        <v>75</v>
      </c>
    </row>
    <row r="79" spans="1:15" ht="15" thickBot="1" x14ac:dyDescent="0.4">
      <c r="A79" s="24"/>
      <c r="C79" s="3"/>
      <c r="D79" s="5"/>
      <c r="E79" s="5"/>
      <c r="F79" s="5"/>
      <c r="G79" s="5"/>
      <c r="H79" s="5"/>
      <c r="I79" s="5"/>
      <c r="J79" s="48"/>
    </row>
    <row r="80" spans="1:15" x14ac:dyDescent="0.35">
      <c r="A80" s="24"/>
    </row>
    <row r="81" spans="1:24" x14ac:dyDescent="0.35">
      <c r="A81" s="24"/>
      <c r="B81" s="1" t="s">
        <v>79</v>
      </c>
      <c r="C81" s="39">
        <v>45623</v>
      </c>
      <c r="E81" t="s">
        <v>98</v>
      </c>
    </row>
    <row r="82" spans="1:24" ht="15" thickBot="1" x14ac:dyDescent="0.4">
      <c r="A82" s="30" t="s">
        <v>60</v>
      </c>
    </row>
    <row r="83" spans="1:24" x14ac:dyDescent="0.35">
      <c r="A83" s="30" t="s">
        <v>61</v>
      </c>
      <c r="B83" s="50" t="s">
        <v>85</v>
      </c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2"/>
    </row>
    <row r="84" spans="1:24" ht="15" thickBot="1" x14ac:dyDescent="0.4">
      <c r="A84" s="24"/>
      <c r="B84" s="56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8"/>
    </row>
    <row r="85" spans="1:24" x14ac:dyDescent="0.35">
      <c r="A85" s="24"/>
    </row>
    <row r="86" spans="1:24" x14ac:dyDescent="0.35">
      <c r="A86" s="24"/>
    </row>
    <row r="87" spans="1:24" x14ac:dyDescent="0.35">
      <c r="A87" s="24"/>
    </row>
    <row r="88" spans="1:24" x14ac:dyDescent="0.35">
      <c r="A88" s="24"/>
      <c r="K88" s="44" t="s">
        <v>99</v>
      </c>
    </row>
    <row r="89" spans="1:24" ht="15" thickBot="1" x14ac:dyDescent="0.4">
      <c r="A89" s="24"/>
      <c r="C89" s="2"/>
      <c r="D89" s="2">
        <v>1</v>
      </c>
      <c r="E89" s="2">
        <v>2</v>
      </c>
      <c r="F89" s="2">
        <v>3</v>
      </c>
      <c r="G89" s="2">
        <v>4</v>
      </c>
      <c r="H89" s="2">
        <v>5</v>
      </c>
      <c r="I89" s="2">
        <v>6</v>
      </c>
      <c r="J89" s="2">
        <v>7</v>
      </c>
      <c r="K89" s="2">
        <v>8</v>
      </c>
      <c r="L89" s="2">
        <v>9</v>
      </c>
      <c r="M89" s="2">
        <v>10</v>
      </c>
      <c r="N89" s="2">
        <v>11</v>
      </c>
      <c r="O89" s="2">
        <v>12</v>
      </c>
      <c r="P89" s="3" t="s">
        <v>9</v>
      </c>
    </row>
    <row r="90" spans="1:24" x14ac:dyDescent="0.35">
      <c r="A90" s="24"/>
      <c r="C90" s="3" t="s">
        <v>1</v>
      </c>
      <c r="D90" s="40" t="s">
        <v>77</v>
      </c>
      <c r="E90" s="4" t="s">
        <v>77</v>
      </c>
      <c r="F90" s="4" t="s">
        <v>77</v>
      </c>
      <c r="G90" s="4" t="s">
        <v>77</v>
      </c>
      <c r="H90" s="4" t="s">
        <v>77</v>
      </c>
      <c r="I90" s="4" t="s">
        <v>77</v>
      </c>
      <c r="J90" s="4" t="s">
        <v>87</v>
      </c>
      <c r="K90" s="40" t="s">
        <v>91</v>
      </c>
      <c r="L90" s="4"/>
      <c r="M90" s="4"/>
      <c r="N90" s="4"/>
      <c r="O90" s="4"/>
    </row>
    <row r="91" spans="1:24" ht="15" thickBot="1" x14ac:dyDescent="0.4">
      <c r="A91" s="24"/>
      <c r="C91" s="3"/>
      <c r="D91" s="41"/>
      <c r="E91" s="5"/>
      <c r="F91" s="5"/>
      <c r="G91" s="5"/>
      <c r="H91" s="5"/>
      <c r="I91" s="5"/>
      <c r="J91" s="5"/>
      <c r="K91" s="41"/>
      <c r="L91" s="5"/>
      <c r="M91" s="5"/>
      <c r="N91" s="5"/>
      <c r="O91" s="5"/>
      <c r="P91" s="18"/>
    </row>
    <row r="92" spans="1:24" x14ac:dyDescent="0.35">
      <c r="A92" s="24"/>
      <c r="C92" s="3" t="s">
        <v>2</v>
      </c>
      <c r="D92" s="4" t="s">
        <v>77</v>
      </c>
      <c r="E92" s="4" t="s">
        <v>77</v>
      </c>
      <c r="F92" s="4" t="s">
        <v>77</v>
      </c>
      <c r="G92" s="4" t="s">
        <v>77</v>
      </c>
      <c r="H92" s="4" t="s">
        <v>77</v>
      </c>
      <c r="I92" s="4" t="s">
        <v>77</v>
      </c>
      <c r="J92" s="40" t="s">
        <v>87</v>
      </c>
      <c r="K92" s="40" t="s">
        <v>91</v>
      </c>
      <c r="L92" s="4"/>
      <c r="M92" s="4"/>
      <c r="N92" s="4"/>
      <c r="O92" s="4"/>
    </row>
    <row r="93" spans="1:24" ht="15" thickBot="1" x14ac:dyDescent="0.4">
      <c r="A93" s="24"/>
      <c r="C93" s="3"/>
      <c r="D93" s="5"/>
      <c r="E93" s="5"/>
      <c r="F93" s="5"/>
      <c r="G93" s="5"/>
      <c r="H93" s="5"/>
      <c r="I93" s="5"/>
      <c r="J93" s="41"/>
      <c r="K93" s="41"/>
      <c r="L93" s="5"/>
      <c r="M93" s="5"/>
      <c r="N93" s="5"/>
      <c r="O93" s="5"/>
      <c r="P93" s="18"/>
    </row>
    <row r="94" spans="1:24" x14ac:dyDescent="0.35">
      <c r="A94" s="24"/>
      <c r="C94" s="3" t="s">
        <v>3</v>
      </c>
      <c r="D94" s="4" t="s">
        <v>77</v>
      </c>
      <c r="E94" s="4" t="s">
        <v>77</v>
      </c>
      <c r="F94" s="40" t="s">
        <v>77</v>
      </c>
      <c r="G94" s="4" t="s">
        <v>77</v>
      </c>
      <c r="H94" s="4" t="s">
        <v>77</v>
      </c>
      <c r="I94" s="40" t="s">
        <v>77</v>
      </c>
      <c r="J94" s="47" t="s">
        <v>86</v>
      </c>
      <c r="K94" s="40" t="s">
        <v>92</v>
      </c>
      <c r="L94" s="4"/>
      <c r="M94" s="4"/>
      <c r="N94" s="4"/>
      <c r="O94" s="4"/>
    </row>
    <row r="95" spans="1:24" ht="15" thickBot="1" x14ac:dyDescent="0.4">
      <c r="A95" s="24"/>
      <c r="C95" s="3"/>
      <c r="D95" s="5"/>
      <c r="E95" s="5"/>
      <c r="F95" s="41"/>
      <c r="G95" s="5"/>
      <c r="H95" s="5"/>
      <c r="I95" s="41"/>
      <c r="J95" s="48"/>
      <c r="K95" s="41"/>
      <c r="L95" s="5"/>
      <c r="M95" s="5"/>
      <c r="N95" s="5"/>
      <c r="O95" s="5"/>
      <c r="P95" s="18"/>
    </row>
    <row r="96" spans="1:24" x14ac:dyDescent="0.35">
      <c r="A96" s="24"/>
      <c r="C96" s="3" t="s">
        <v>4</v>
      </c>
      <c r="D96" s="40" t="s">
        <v>77</v>
      </c>
      <c r="E96" s="4" t="s">
        <v>77</v>
      </c>
      <c r="F96" s="4" t="s">
        <v>77</v>
      </c>
      <c r="G96" s="4" t="s">
        <v>77</v>
      </c>
      <c r="H96" s="4" t="s">
        <v>77</v>
      </c>
      <c r="I96" s="4" t="s">
        <v>77</v>
      </c>
      <c r="J96" s="47" t="s">
        <v>86</v>
      </c>
      <c r="K96" s="4" t="s">
        <v>93</v>
      </c>
      <c r="L96" s="4"/>
      <c r="M96" s="4"/>
      <c r="N96" s="4"/>
      <c r="O96" s="4"/>
    </row>
    <row r="97" spans="1:24" ht="15" thickBot="1" x14ac:dyDescent="0.4">
      <c r="A97" s="24"/>
      <c r="C97" s="3"/>
      <c r="D97" s="41"/>
      <c r="E97" s="5"/>
      <c r="F97" s="5"/>
      <c r="G97" s="5"/>
      <c r="H97" s="5"/>
      <c r="I97" s="5"/>
      <c r="J97" s="48"/>
      <c r="K97" s="5"/>
      <c r="L97" s="5"/>
      <c r="M97" s="5"/>
      <c r="N97" s="5"/>
      <c r="O97" s="5"/>
      <c r="P97" s="18"/>
    </row>
    <row r="98" spans="1:24" x14ac:dyDescent="0.35">
      <c r="A98" s="24"/>
      <c r="C98" s="3" t="s">
        <v>5</v>
      </c>
      <c r="D98" s="4" t="s">
        <v>77</v>
      </c>
      <c r="E98" s="4" t="s">
        <v>77</v>
      </c>
      <c r="F98" s="4" t="s">
        <v>77</v>
      </c>
      <c r="G98" s="4" t="s">
        <v>77</v>
      </c>
      <c r="H98" s="4" t="s">
        <v>77</v>
      </c>
      <c r="I98" s="4" t="s">
        <v>77</v>
      </c>
      <c r="J98" s="4" t="s">
        <v>78</v>
      </c>
      <c r="K98" s="4" t="s">
        <v>94</v>
      </c>
      <c r="L98" s="4"/>
      <c r="M98" s="4"/>
      <c r="N98" s="4"/>
      <c r="O98" s="4"/>
    </row>
    <row r="99" spans="1:24" ht="15" thickBot="1" x14ac:dyDescent="0.4">
      <c r="A99" s="24"/>
      <c r="C99" s="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18"/>
    </row>
    <row r="100" spans="1:24" x14ac:dyDescent="0.35">
      <c r="A100" s="24"/>
      <c r="C100" s="3" t="s">
        <v>6</v>
      </c>
      <c r="D100" s="4" t="s">
        <v>77</v>
      </c>
      <c r="E100" s="4" t="s">
        <v>77</v>
      </c>
      <c r="F100" s="4" t="s">
        <v>77</v>
      </c>
      <c r="G100" s="4" t="s">
        <v>77</v>
      </c>
      <c r="H100" s="4" t="s">
        <v>77</v>
      </c>
      <c r="I100" s="4" t="s">
        <v>77</v>
      </c>
      <c r="J100" s="4" t="s">
        <v>78</v>
      </c>
      <c r="K100" s="4" t="s">
        <v>95</v>
      </c>
      <c r="L100" s="4"/>
      <c r="M100" s="4"/>
      <c r="N100" s="4"/>
      <c r="O100" s="4"/>
    </row>
    <row r="101" spans="1:24" ht="15" thickBot="1" x14ac:dyDescent="0.4">
      <c r="A101" s="24"/>
      <c r="C101" s="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18"/>
    </row>
    <row r="102" spans="1:24" x14ac:dyDescent="0.35">
      <c r="A102" s="24"/>
      <c r="C102" s="3" t="s">
        <v>7</v>
      </c>
      <c r="D102" s="40" t="s">
        <v>77</v>
      </c>
      <c r="E102" s="4" t="s">
        <v>77</v>
      </c>
      <c r="F102" s="4" t="s">
        <v>77</v>
      </c>
      <c r="G102" s="4" t="s">
        <v>77</v>
      </c>
      <c r="H102" s="4" t="s">
        <v>77</v>
      </c>
      <c r="I102" s="4" t="s">
        <v>77</v>
      </c>
      <c r="J102" s="47" t="s">
        <v>75</v>
      </c>
      <c r="K102" s="4" t="s">
        <v>96</v>
      </c>
      <c r="L102" s="4"/>
      <c r="M102" s="4"/>
      <c r="N102" s="4"/>
      <c r="O102" s="4"/>
    </row>
    <row r="103" spans="1:24" ht="15" thickBot="1" x14ac:dyDescent="0.4">
      <c r="A103" s="24"/>
      <c r="C103" s="3"/>
      <c r="D103" s="41"/>
      <c r="E103" s="5"/>
      <c r="F103" s="5"/>
      <c r="G103" s="5"/>
      <c r="H103" s="5"/>
      <c r="I103" s="5"/>
      <c r="J103" s="48"/>
      <c r="K103" s="5"/>
      <c r="L103" s="5"/>
      <c r="M103" s="5"/>
      <c r="N103" s="5"/>
      <c r="O103" s="5"/>
    </row>
    <row r="104" spans="1:24" x14ac:dyDescent="0.35">
      <c r="A104" s="24"/>
      <c r="C104" s="3" t="s">
        <v>8</v>
      </c>
      <c r="D104" s="40" t="s">
        <v>77</v>
      </c>
      <c r="E104" s="4" t="s">
        <v>77</v>
      </c>
      <c r="F104" s="4" t="s">
        <v>77</v>
      </c>
      <c r="G104" s="4" t="s">
        <v>77</v>
      </c>
      <c r="H104" s="4" t="s">
        <v>77</v>
      </c>
      <c r="I104" s="4" t="s">
        <v>77</v>
      </c>
      <c r="J104" s="47" t="s">
        <v>75</v>
      </c>
      <c r="K104" s="47" t="s">
        <v>97</v>
      </c>
      <c r="L104" s="4"/>
      <c r="M104" s="4"/>
      <c r="N104" s="4"/>
      <c r="O104" s="4"/>
    </row>
    <row r="105" spans="1:24" ht="15" thickBot="1" x14ac:dyDescent="0.4">
      <c r="A105" s="24"/>
      <c r="C105" s="3"/>
      <c r="D105" s="41"/>
      <c r="E105" s="5"/>
      <c r="F105" s="5"/>
      <c r="G105" s="5"/>
      <c r="H105" s="5"/>
      <c r="I105" s="5"/>
      <c r="J105" s="48"/>
      <c r="K105" s="48"/>
      <c r="L105" s="5"/>
      <c r="M105" s="5"/>
      <c r="N105" s="5"/>
      <c r="O105" s="5"/>
    </row>
    <row r="106" spans="1:24" x14ac:dyDescent="0.35">
      <c r="A106" s="24"/>
    </row>
    <row r="107" spans="1:24" ht="15" thickBot="1" x14ac:dyDescent="0.4">
      <c r="A107" s="24"/>
      <c r="B107" s="1" t="s">
        <v>81</v>
      </c>
      <c r="C107" s="43">
        <v>45624</v>
      </c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</row>
    <row r="108" spans="1:24" x14ac:dyDescent="0.35">
      <c r="A108" s="24"/>
      <c r="B108" s="37" t="s">
        <v>88</v>
      </c>
      <c r="C108" s="37"/>
      <c r="D108" s="37"/>
      <c r="E108" s="37"/>
      <c r="F108" s="37"/>
      <c r="G108" s="37"/>
      <c r="H108" s="40" t="s">
        <v>77</v>
      </c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</row>
    <row r="109" spans="1:24" ht="15" thickBot="1" x14ac:dyDescent="0.4">
      <c r="A109" s="24"/>
      <c r="B109" s="37"/>
      <c r="C109" s="37"/>
      <c r="D109" s="37"/>
      <c r="E109" s="37"/>
      <c r="F109" s="37"/>
      <c r="G109" s="37"/>
      <c r="H109" s="5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</row>
    <row r="110" spans="1:24" ht="15" thickBot="1" x14ac:dyDescent="0.4">
      <c r="A110" s="24"/>
      <c r="B110" s="37"/>
      <c r="C110" s="37"/>
      <c r="D110" s="37"/>
      <c r="E110" s="37"/>
      <c r="F110" s="37"/>
      <c r="G110" s="37"/>
      <c r="H110" s="44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</row>
    <row r="111" spans="1:24" x14ac:dyDescent="0.35">
      <c r="A111" s="24"/>
      <c r="B111" s="50" t="s">
        <v>82</v>
      </c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2"/>
    </row>
    <row r="112" spans="1:24" x14ac:dyDescent="0.35">
      <c r="A112" s="24"/>
      <c r="B112" s="53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5"/>
    </row>
    <row r="113" spans="1:24" x14ac:dyDescent="0.35">
      <c r="A113" s="24"/>
      <c r="B113" s="53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5"/>
    </row>
    <row r="114" spans="1:24" ht="45" customHeight="1" thickBot="1" x14ac:dyDescent="0.4">
      <c r="A114" s="24"/>
      <c r="B114" s="56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8"/>
    </row>
    <row r="115" spans="1:24" ht="15" thickBot="1" x14ac:dyDescent="0.4">
      <c r="A115" s="24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</row>
    <row r="116" spans="1:24" x14ac:dyDescent="0.35">
      <c r="A116" s="24"/>
      <c r="B116" s="37" t="s">
        <v>89</v>
      </c>
      <c r="C116" s="37"/>
      <c r="D116" s="37"/>
      <c r="E116" s="37"/>
      <c r="F116" s="37"/>
      <c r="G116" s="37"/>
      <c r="H116" s="4" t="s">
        <v>77</v>
      </c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</row>
    <row r="117" spans="1:24" ht="15" thickBot="1" x14ac:dyDescent="0.4">
      <c r="A117" s="24"/>
      <c r="B117" s="37"/>
      <c r="C117" s="37"/>
      <c r="D117" s="37"/>
      <c r="E117" s="37"/>
      <c r="F117" s="37"/>
      <c r="G117" s="37"/>
      <c r="H117" s="41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</row>
    <row r="118" spans="1:24" x14ac:dyDescent="0.35">
      <c r="A118" s="24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</row>
    <row r="119" spans="1:24" x14ac:dyDescent="0.35">
      <c r="A119" s="24"/>
      <c r="B119" s="38" t="s">
        <v>83</v>
      </c>
      <c r="C119" s="43">
        <v>45625</v>
      </c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</row>
    <row r="120" spans="1:24" x14ac:dyDescent="0.35">
      <c r="A120" s="24"/>
      <c r="B120" s="37" t="s">
        <v>84</v>
      </c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</row>
    <row r="121" spans="1:24" x14ac:dyDescent="0.35">
      <c r="A121" s="24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</row>
    <row r="122" spans="1:24" x14ac:dyDescent="0.35">
      <c r="A122" s="24"/>
    </row>
    <row r="123" spans="1:24" x14ac:dyDescent="0.35">
      <c r="A123" s="24"/>
      <c r="K123" s="44" t="s">
        <v>99</v>
      </c>
    </row>
    <row r="124" spans="1:24" ht="15" thickBot="1" x14ac:dyDescent="0.4">
      <c r="A124" s="24"/>
      <c r="C124" s="2"/>
      <c r="D124" s="2">
        <v>1</v>
      </c>
      <c r="E124" s="2">
        <v>2</v>
      </c>
      <c r="F124" s="2">
        <v>3</v>
      </c>
      <c r="G124" s="2">
        <v>4</v>
      </c>
      <c r="H124" s="2">
        <v>5</v>
      </c>
      <c r="I124" s="2">
        <v>6</v>
      </c>
      <c r="J124" s="2">
        <v>7</v>
      </c>
      <c r="K124" s="2">
        <v>8</v>
      </c>
      <c r="L124" s="2">
        <v>9</v>
      </c>
      <c r="M124" s="2">
        <v>10</v>
      </c>
      <c r="N124" s="2">
        <v>11</v>
      </c>
      <c r="O124" s="2">
        <v>12</v>
      </c>
      <c r="P124" s="3" t="s">
        <v>9</v>
      </c>
    </row>
    <row r="125" spans="1:24" x14ac:dyDescent="0.35">
      <c r="A125" s="24"/>
      <c r="C125" s="3" t="s">
        <v>1</v>
      </c>
      <c r="D125" s="4" t="s">
        <v>77</v>
      </c>
      <c r="E125" s="4" t="s">
        <v>77</v>
      </c>
      <c r="F125" s="4" t="s">
        <v>77</v>
      </c>
      <c r="G125" s="4" t="s">
        <v>77</v>
      </c>
      <c r="H125" s="4" t="s">
        <v>77</v>
      </c>
      <c r="I125" s="4" t="s">
        <v>77</v>
      </c>
      <c r="J125" s="4" t="s">
        <v>87</v>
      </c>
      <c r="K125" s="40" t="s">
        <v>91</v>
      </c>
      <c r="L125" s="4"/>
      <c r="M125" s="4"/>
      <c r="N125" s="4"/>
      <c r="O125" s="4"/>
    </row>
    <row r="126" spans="1:24" ht="15" thickBot="1" x14ac:dyDescent="0.4">
      <c r="A126" s="24"/>
      <c r="C126" s="3"/>
      <c r="D126" s="5"/>
      <c r="E126" s="5"/>
      <c r="F126" s="5"/>
      <c r="G126" s="5"/>
      <c r="H126" s="5"/>
      <c r="I126" s="5"/>
      <c r="J126" s="5"/>
      <c r="K126" s="41"/>
      <c r="L126" s="5"/>
      <c r="M126" s="5"/>
      <c r="N126" s="5"/>
      <c r="O126" s="5"/>
      <c r="P126" s="18"/>
    </row>
    <row r="127" spans="1:24" x14ac:dyDescent="0.35">
      <c r="A127" s="24"/>
      <c r="C127" s="3" t="s">
        <v>2</v>
      </c>
      <c r="D127" s="4" t="s">
        <v>77</v>
      </c>
      <c r="E127" s="4" t="s">
        <v>77</v>
      </c>
      <c r="F127" s="4" t="s">
        <v>77</v>
      </c>
      <c r="G127" s="4" t="s">
        <v>77</v>
      </c>
      <c r="H127" s="4" t="s">
        <v>77</v>
      </c>
      <c r="I127" s="4" t="s">
        <v>77</v>
      </c>
      <c r="J127" s="40" t="s">
        <v>87</v>
      </c>
      <c r="K127" s="40" t="s">
        <v>91</v>
      </c>
      <c r="L127" s="4"/>
      <c r="M127" s="4"/>
      <c r="N127" s="4"/>
      <c r="O127" s="4"/>
    </row>
    <row r="128" spans="1:24" ht="15" thickBot="1" x14ac:dyDescent="0.4">
      <c r="A128" s="24"/>
      <c r="C128" s="3"/>
      <c r="D128" s="5"/>
      <c r="E128" s="5"/>
      <c r="F128" s="5"/>
      <c r="G128" s="5"/>
      <c r="H128" s="5"/>
      <c r="I128" s="5"/>
      <c r="J128" s="41"/>
      <c r="K128" s="41"/>
      <c r="L128" s="5"/>
      <c r="M128" s="5"/>
      <c r="N128" s="5"/>
      <c r="O128" s="5"/>
      <c r="P128" s="18"/>
    </row>
    <row r="129" spans="1:24" x14ac:dyDescent="0.35">
      <c r="A129" s="24"/>
      <c r="C129" s="3" t="s">
        <v>3</v>
      </c>
      <c r="D129" s="4" t="s">
        <v>77</v>
      </c>
      <c r="E129" s="4" t="s">
        <v>77</v>
      </c>
      <c r="F129" s="40" t="s">
        <v>77</v>
      </c>
      <c r="G129" s="4" t="s">
        <v>77</v>
      </c>
      <c r="H129" s="4" t="s">
        <v>77</v>
      </c>
      <c r="I129" s="40" t="s">
        <v>77</v>
      </c>
      <c r="J129" s="47" t="s">
        <v>86</v>
      </c>
      <c r="K129" s="40" t="s">
        <v>92</v>
      </c>
      <c r="L129" s="4"/>
      <c r="M129" s="4"/>
      <c r="N129" s="4"/>
      <c r="O129" s="4"/>
    </row>
    <row r="130" spans="1:24" ht="15" thickBot="1" x14ac:dyDescent="0.4">
      <c r="A130" s="24"/>
      <c r="C130" s="3"/>
      <c r="D130" s="5"/>
      <c r="E130" s="5"/>
      <c r="F130" s="41"/>
      <c r="G130" s="5"/>
      <c r="H130" s="5"/>
      <c r="I130" s="41"/>
      <c r="J130" s="48"/>
      <c r="K130" s="41"/>
      <c r="L130" s="5"/>
      <c r="M130" s="5"/>
      <c r="N130" s="5"/>
      <c r="O130" s="5"/>
      <c r="P130" s="18"/>
    </row>
    <row r="131" spans="1:24" x14ac:dyDescent="0.35">
      <c r="A131" s="24"/>
      <c r="C131" s="3" t="s">
        <v>4</v>
      </c>
      <c r="D131" s="4" t="s">
        <v>77</v>
      </c>
      <c r="E131" s="4" t="s">
        <v>77</v>
      </c>
      <c r="F131" s="4" t="s">
        <v>77</v>
      </c>
      <c r="G131" s="4" t="s">
        <v>77</v>
      </c>
      <c r="H131" s="4" t="s">
        <v>77</v>
      </c>
      <c r="I131" s="4" t="s">
        <v>77</v>
      </c>
      <c r="J131" s="47" t="s">
        <v>86</v>
      </c>
      <c r="K131" s="4" t="s">
        <v>93</v>
      </c>
      <c r="L131" s="4"/>
      <c r="M131" s="4"/>
      <c r="N131" s="4"/>
      <c r="O131" s="4"/>
    </row>
    <row r="132" spans="1:24" ht="15" thickBot="1" x14ac:dyDescent="0.4">
      <c r="A132" s="24"/>
      <c r="C132" s="3"/>
      <c r="D132" s="5"/>
      <c r="E132" s="5"/>
      <c r="F132" s="5"/>
      <c r="G132" s="5"/>
      <c r="H132" s="5"/>
      <c r="I132" s="5"/>
      <c r="J132" s="48"/>
      <c r="K132" s="5"/>
      <c r="L132" s="5"/>
      <c r="M132" s="5"/>
      <c r="N132" s="5"/>
      <c r="O132" s="5"/>
      <c r="P132" s="18"/>
    </row>
    <row r="133" spans="1:24" x14ac:dyDescent="0.35">
      <c r="A133" s="24"/>
      <c r="C133" s="3" t="s">
        <v>5</v>
      </c>
      <c r="D133" s="4" t="s">
        <v>77</v>
      </c>
      <c r="E133" s="4" t="s">
        <v>77</v>
      </c>
      <c r="F133" s="4" t="s">
        <v>77</v>
      </c>
      <c r="G133" s="4" t="s">
        <v>77</v>
      </c>
      <c r="H133" s="4" t="s">
        <v>77</v>
      </c>
      <c r="I133" s="4" t="s">
        <v>77</v>
      </c>
      <c r="J133" s="4" t="s">
        <v>78</v>
      </c>
      <c r="K133" s="4" t="s">
        <v>94</v>
      </c>
      <c r="L133" s="4"/>
      <c r="M133" s="4"/>
      <c r="N133" s="4"/>
      <c r="O133" s="4"/>
    </row>
    <row r="134" spans="1:24" ht="15" thickBot="1" x14ac:dyDescent="0.4">
      <c r="A134" s="24"/>
      <c r="C134" s="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18"/>
    </row>
    <row r="135" spans="1:24" x14ac:dyDescent="0.35">
      <c r="A135" s="24"/>
      <c r="C135" s="3" t="s">
        <v>6</v>
      </c>
      <c r="D135" s="4" t="s">
        <v>77</v>
      </c>
      <c r="E135" s="4" t="s">
        <v>77</v>
      </c>
      <c r="F135" s="4" t="s">
        <v>77</v>
      </c>
      <c r="G135" s="4" t="s">
        <v>77</v>
      </c>
      <c r="H135" s="4" t="s">
        <v>77</v>
      </c>
      <c r="I135" s="4" t="s">
        <v>77</v>
      </c>
      <c r="J135" s="4" t="s">
        <v>78</v>
      </c>
      <c r="K135" s="4" t="s">
        <v>95</v>
      </c>
      <c r="L135" s="4"/>
      <c r="M135" s="4"/>
      <c r="N135" s="4"/>
      <c r="O135" s="4"/>
    </row>
    <row r="136" spans="1:24" ht="15" thickBot="1" x14ac:dyDescent="0.4">
      <c r="A136" s="24"/>
      <c r="C136" s="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18"/>
    </row>
    <row r="137" spans="1:24" x14ac:dyDescent="0.35">
      <c r="A137" s="24"/>
      <c r="C137" s="3" t="s">
        <v>7</v>
      </c>
      <c r="D137" s="40" t="s">
        <v>77</v>
      </c>
      <c r="E137" s="4" t="s">
        <v>77</v>
      </c>
      <c r="F137" s="4" t="s">
        <v>77</v>
      </c>
      <c r="G137" s="4" t="s">
        <v>77</v>
      </c>
      <c r="H137" s="4" t="s">
        <v>77</v>
      </c>
      <c r="I137" s="4" t="s">
        <v>77</v>
      </c>
      <c r="J137" s="47" t="s">
        <v>75</v>
      </c>
      <c r="K137" s="4" t="s">
        <v>96</v>
      </c>
      <c r="L137" s="4"/>
      <c r="M137" s="4"/>
      <c r="N137" s="4"/>
      <c r="O137" s="4"/>
    </row>
    <row r="138" spans="1:24" ht="15" thickBot="1" x14ac:dyDescent="0.4">
      <c r="A138" s="24"/>
      <c r="C138" s="3"/>
      <c r="D138" s="41"/>
      <c r="E138" s="5"/>
      <c r="F138" s="5"/>
      <c r="G138" s="5"/>
      <c r="H138" s="5"/>
      <c r="I138" s="5"/>
      <c r="J138" s="48"/>
      <c r="K138" s="5"/>
      <c r="L138" s="5"/>
      <c r="M138" s="5"/>
      <c r="N138" s="5"/>
      <c r="O138" s="5"/>
    </row>
    <row r="139" spans="1:24" x14ac:dyDescent="0.35">
      <c r="A139" s="24"/>
      <c r="C139" s="3" t="s">
        <v>8</v>
      </c>
      <c r="D139" s="40" t="s">
        <v>77</v>
      </c>
      <c r="E139" s="4" t="s">
        <v>77</v>
      </c>
      <c r="F139" s="4" t="s">
        <v>77</v>
      </c>
      <c r="G139" s="4" t="s">
        <v>77</v>
      </c>
      <c r="H139" s="4" t="s">
        <v>77</v>
      </c>
      <c r="I139" s="4" t="s">
        <v>77</v>
      </c>
      <c r="J139" s="47" t="s">
        <v>75</v>
      </c>
      <c r="K139" s="47" t="s">
        <v>97</v>
      </c>
      <c r="L139" s="4"/>
      <c r="M139" s="4"/>
      <c r="N139" s="4"/>
      <c r="O139" s="4"/>
    </row>
    <row r="140" spans="1:24" ht="15" thickBot="1" x14ac:dyDescent="0.4">
      <c r="A140" s="24"/>
      <c r="C140" s="3"/>
      <c r="D140" s="41"/>
      <c r="E140" s="5"/>
      <c r="F140" s="5"/>
      <c r="G140" s="5"/>
      <c r="H140" s="5"/>
      <c r="I140" s="5"/>
      <c r="J140" s="48"/>
      <c r="K140" s="48"/>
      <c r="L140" s="5"/>
      <c r="M140" s="5"/>
      <c r="N140" s="5"/>
      <c r="O140" s="5"/>
    </row>
    <row r="141" spans="1:24" x14ac:dyDescent="0.35">
      <c r="A141" s="24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</row>
    <row r="142" spans="1:24" x14ac:dyDescent="0.35">
      <c r="A142" s="24"/>
    </row>
    <row r="143" spans="1:24" x14ac:dyDescent="0.35">
      <c r="A143" s="24"/>
      <c r="B143" s="1" t="s">
        <v>79</v>
      </c>
      <c r="C143" s="39">
        <v>45628</v>
      </c>
      <c r="E143" t="s">
        <v>100</v>
      </c>
      <c r="G143" s="1" t="s">
        <v>81</v>
      </c>
      <c r="H143" s="39">
        <v>45629</v>
      </c>
      <c r="J143" s="38" t="s">
        <v>83</v>
      </c>
      <c r="K143" s="39">
        <v>45630</v>
      </c>
    </row>
    <row r="144" spans="1:24" x14ac:dyDescent="0.35">
      <c r="A144" s="24"/>
      <c r="B144" s="1"/>
      <c r="C144" s="39"/>
      <c r="K144" s="49">
        <v>0.41666666666666669</v>
      </c>
    </row>
    <row r="145" spans="1:11" ht="15" thickBot="1" x14ac:dyDescent="0.4">
      <c r="A145" s="24"/>
      <c r="B145" s="1"/>
      <c r="C145" s="2"/>
      <c r="D145" s="2">
        <v>1</v>
      </c>
      <c r="E145" s="44" t="s">
        <v>105</v>
      </c>
      <c r="G145" s="2">
        <v>4</v>
      </c>
      <c r="H145" s="2">
        <v>5</v>
      </c>
      <c r="J145" s="2">
        <v>4</v>
      </c>
      <c r="K145" s="2">
        <v>5</v>
      </c>
    </row>
    <row r="146" spans="1:11" x14ac:dyDescent="0.35">
      <c r="A146" s="24"/>
      <c r="C146" s="3" t="s">
        <v>1</v>
      </c>
      <c r="D146" s="4" t="s">
        <v>91</v>
      </c>
      <c r="E146" s="44" t="s">
        <v>108</v>
      </c>
      <c r="G146" s="4" t="s">
        <v>91</v>
      </c>
      <c r="H146" s="4" t="s">
        <v>91</v>
      </c>
      <c r="J146" s="4" t="s">
        <v>91</v>
      </c>
      <c r="K146" s="4" t="s">
        <v>91</v>
      </c>
    </row>
    <row r="147" spans="1:11" ht="15" thickBot="1" x14ac:dyDescent="0.4">
      <c r="A147" s="24"/>
      <c r="C147" s="3"/>
      <c r="D147" s="5"/>
      <c r="E147" s="44"/>
      <c r="G147" s="5"/>
      <c r="H147" s="5"/>
      <c r="J147" s="5"/>
      <c r="K147" s="5"/>
    </row>
    <row r="148" spans="1:11" x14ac:dyDescent="0.35">
      <c r="A148" s="24"/>
      <c r="C148" s="3" t="s">
        <v>2</v>
      </c>
      <c r="D148" s="4" t="s">
        <v>101</v>
      </c>
      <c r="E148" s="44" t="s">
        <v>109</v>
      </c>
      <c r="G148" s="4" t="s">
        <v>101</v>
      </c>
      <c r="H148" s="4" t="s">
        <v>101</v>
      </c>
      <c r="J148" s="4" t="s">
        <v>101</v>
      </c>
      <c r="K148" s="4" t="s">
        <v>101</v>
      </c>
    </row>
    <row r="149" spans="1:11" ht="15" thickBot="1" x14ac:dyDescent="0.4">
      <c r="A149" s="24"/>
      <c r="C149" s="3"/>
      <c r="D149" s="5"/>
      <c r="E149" s="44"/>
      <c r="G149" s="5"/>
      <c r="H149" s="5"/>
      <c r="J149" s="5"/>
      <c r="K149" s="5"/>
    </row>
    <row r="150" spans="1:11" x14ac:dyDescent="0.35">
      <c r="A150" s="24"/>
      <c r="C150" s="3" t="s">
        <v>3</v>
      </c>
      <c r="D150" s="4" t="s">
        <v>102</v>
      </c>
      <c r="E150" s="44" t="s">
        <v>109</v>
      </c>
      <c r="G150" s="4" t="s">
        <v>102</v>
      </c>
      <c r="H150" s="4" t="s">
        <v>102</v>
      </c>
      <c r="J150" s="4" t="s">
        <v>102</v>
      </c>
      <c r="K150" s="4" t="s">
        <v>102</v>
      </c>
    </row>
    <row r="151" spans="1:11" ht="15" thickBot="1" x14ac:dyDescent="0.4">
      <c r="A151" s="24"/>
      <c r="C151" s="3"/>
      <c r="D151" s="5"/>
      <c r="E151" s="44"/>
      <c r="G151" s="5"/>
      <c r="H151" s="5"/>
      <c r="J151" s="5"/>
      <c r="K151" s="5"/>
    </row>
    <row r="152" spans="1:11" x14ac:dyDescent="0.35">
      <c r="A152" s="24"/>
      <c r="C152" s="3" t="s">
        <v>4</v>
      </c>
      <c r="D152" s="4" t="s">
        <v>106</v>
      </c>
      <c r="E152" s="44" t="s">
        <v>109</v>
      </c>
      <c r="G152" s="4" t="s">
        <v>106</v>
      </c>
      <c r="H152" s="4" t="s">
        <v>106</v>
      </c>
      <c r="J152" s="4" t="s">
        <v>106</v>
      </c>
      <c r="K152" s="4" t="s">
        <v>106</v>
      </c>
    </row>
    <row r="153" spans="1:11" ht="15" thickBot="1" x14ac:dyDescent="0.4">
      <c r="A153" s="24"/>
      <c r="C153" s="3"/>
      <c r="D153" s="5"/>
      <c r="E153" s="44"/>
      <c r="G153" s="5"/>
      <c r="H153" s="5"/>
      <c r="J153" s="5"/>
      <c r="K153" s="5"/>
    </row>
    <row r="154" spans="1:11" x14ac:dyDescent="0.35">
      <c r="A154" s="24"/>
      <c r="C154" s="3" t="s">
        <v>5</v>
      </c>
      <c r="D154" s="4" t="s">
        <v>107</v>
      </c>
      <c r="E154" s="44" t="s">
        <v>110</v>
      </c>
      <c r="G154" s="4" t="s">
        <v>107</v>
      </c>
      <c r="H154" s="4" t="s">
        <v>107</v>
      </c>
      <c r="J154" s="4" t="s">
        <v>107</v>
      </c>
      <c r="K154" s="4" t="s">
        <v>107</v>
      </c>
    </row>
    <row r="155" spans="1:11" ht="15" thickBot="1" x14ac:dyDescent="0.4">
      <c r="A155" s="24"/>
      <c r="C155" s="3"/>
      <c r="D155" s="5"/>
      <c r="E155" s="44"/>
      <c r="G155" s="5"/>
      <c r="H155" s="5"/>
      <c r="J155" s="5"/>
      <c r="K155" s="5"/>
    </row>
    <row r="156" spans="1:11" x14ac:dyDescent="0.35">
      <c r="A156" s="24"/>
      <c r="C156" s="3" t="s">
        <v>6</v>
      </c>
      <c r="D156" s="4" t="s">
        <v>87</v>
      </c>
      <c r="E156" s="44" t="s">
        <v>103</v>
      </c>
      <c r="G156" s="4" t="s">
        <v>87</v>
      </c>
      <c r="H156" s="4" t="s">
        <v>87</v>
      </c>
      <c r="J156" s="4" t="s">
        <v>87</v>
      </c>
      <c r="K156" s="4" t="s">
        <v>87</v>
      </c>
    </row>
    <row r="157" spans="1:11" ht="15" thickBot="1" x14ac:dyDescent="0.4">
      <c r="A157" s="24"/>
      <c r="C157" s="3"/>
      <c r="D157" s="5"/>
      <c r="E157" s="44"/>
      <c r="G157" s="5"/>
      <c r="H157" s="5"/>
      <c r="J157" s="5"/>
      <c r="K157" s="5"/>
    </row>
    <row r="158" spans="1:11" x14ac:dyDescent="0.35">
      <c r="A158" s="24"/>
      <c r="C158" s="3" t="s">
        <v>7</v>
      </c>
      <c r="D158" s="4" t="s">
        <v>87</v>
      </c>
      <c r="E158" s="44" t="s">
        <v>104</v>
      </c>
      <c r="G158" s="4" t="s">
        <v>87</v>
      </c>
      <c r="H158" s="4" t="s">
        <v>87</v>
      </c>
      <c r="J158" s="4" t="s">
        <v>87</v>
      </c>
      <c r="K158" s="4" t="s">
        <v>87</v>
      </c>
    </row>
    <row r="159" spans="1:11" ht="15" thickBot="1" x14ac:dyDescent="0.4">
      <c r="A159" s="24"/>
      <c r="C159" s="3"/>
      <c r="D159" s="5"/>
      <c r="E159" s="44"/>
      <c r="G159" s="5"/>
      <c r="H159" s="5"/>
      <c r="J159" s="5"/>
      <c r="K159" s="5"/>
    </row>
    <row r="160" spans="1:11" x14ac:dyDescent="0.35">
      <c r="A160" s="24"/>
      <c r="C160" s="3" t="s">
        <v>8</v>
      </c>
      <c r="D160" s="4" t="s">
        <v>78</v>
      </c>
      <c r="E160" s="44" t="s">
        <v>103</v>
      </c>
      <c r="G160" s="4" t="s">
        <v>78</v>
      </c>
      <c r="H160" s="4" t="s">
        <v>78</v>
      </c>
      <c r="J160" s="4" t="s">
        <v>78</v>
      </c>
      <c r="K160" s="4" t="s">
        <v>78</v>
      </c>
    </row>
    <row r="161" spans="1:11" ht="15" thickBot="1" x14ac:dyDescent="0.4">
      <c r="A161" s="24"/>
      <c r="C161" s="3"/>
      <c r="D161" s="5"/>
      <c r="E161" s="44"/>
      <c r="G161" s="5"/>
      <c r="H161" s="5"/>
      <c r="J161" s="5"/>
      <c r="K161" s="5"/>
    </row>
  </sheetData>
  <mergeCells count="9">
    <mergeCell ref="B111:X114"/>
    <mergeCell ref="B3:X5"/>
    <mergeCell ref="B7:C7"/>
    <mergeCell ref="D7:E7"/>
    <mergeCell ref="F7:G7"/>
    <mergeCell ref="B23:X24"/>
    <mergeCell ref="B10:C10"/>
    <mergeCell ref="B51:X54"/>
    <mergeCell ref="B83:X84"/>
  </mergeCells>
  <phoneticPr fontId="6" type="noConversion"/>
  <conditionalFormatting sqref="L73:N74 L70:M72">
    <cfRule type="colorScale" priority="4">
      <colorScale>
        <cfvo type="min"/>
        <cfvo type="max"/>
        <color rgb="FFFFEF9C"/>
        <color rgb="FF63BE7B"/>
      </colorScale>
    </cfRule>
  </conditionalFormatting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C326B-C8DD-49F4-924C-4AD2C910A44C}">
  <dimension ref="B1:Q29"/>
  <sheetViews>
    <sheetView topLeftCell="A15" workbookViewId="0">
      <selection activeCell="Q9" sqref="Q9"/>
    </sheetView>
  </sheetViews>
  <sheetFormatPr defaultColWidth="10.81640625" defaultRowHeight="14.5" x14ac:dyDescent="0.35"/>
  <cols>
    <col min="12" max="12" width="47.453125" customWidth="1"/>
    <col min="18" max="18" width="32.453125" customWidth="1"/>
  </cols>
  <sheetData>
    <row r="1" spans="2:17" ht="15" thickBot="1" x14ac:dyDescent="0.4"/>
    <row r="2" spans="2:17" ht="15" thickBot="1" x14ac:dyDescent="0.4">
      <c r="B2" s="32" t="s">
        <v>47</v>
      </c>
      <c r="C2" s="33"/>
      <c r="D2" s="34"/>
      <c r="G2" s="32" t="s">
        <v>65</v>
      </c>
      <c r="H2" s="33"/>
      <c r="I2" s="34"/>
      <c r="L2" s="25" t="s">
        <v>56</v>
      </c>
      <c r="M2" s="26"/>
      <c r="O2" s="32" t="s">
        <v>73</v>
      </c>
      <c r="P2" s="33"/>
      <c r="Q2" s="34"/>
    </row>
    <row r="3" spans="2:17" x14ac:dyDescent="0.35">
      <c r="B3" s="9" t="s">
        <v>10</v>
      </c>
      <c r="C3">
        <v>100</v>
      </c>
      <c r="D3" s="10" t="s">
        <v>11</v>
      </c>
      <c r="G3" s="9" t="s">
        <v>30</v>
      </c>
      <c r="H3">
        <v>720</v>
      </c>
      <c r="I3" s="10" t="s">
        <v>21</v>
      </c>
      <c r="L3" s="9" t="s">
        <v>53</v>
      </c>
      <c r="M3" s="10" t="s">
        <v>48</v>
      </c>
      <c r="O3" s="9" t="s">
        <v>30</v>
      </c>
      <c r="P3">
        <v>72</v>
      </c>
      <c r="Q3" s="10" t="s">
        <v>21</v>
      </c>
    </row>
    <row r="4" spans="2:17" x14ac:dyDescent="0.35">
      <c r="B4" s="9" t="s">
        <v>12</v>
      </c>
      <c r="C4">
        <v>100</v>
      </c>
      <c r="D4" s="10" t="s">
        <v>11</v>
      </c>
      <c r="G4" s="9" t="s">
        <v>31</v>
      </c>
      <c r="H4">
        <v>67</v>
      </c>
      <c r="I4" s="10" t="s">
        <v>21</v>
      </c>
      <c r="L4" s="9" t="s">
        <v>54</v>
      </c>
      <c r="M4" s="10" t="s">
        <v>49</v>
      </c>
      <c r="O4" s="9" t="s">
        <v>31</v>
      </c>
      <c r="P4">
        <v>6.7</v>
      </c>
      <c r="Q4" s="10" t="s">
        <v>21</v>
      </c>
    </row>
    <row r="5" spans="2:17" x14ac:dyDescent="0.35">
      <c r="B5" s="9" t="s">
        <v>13</v>
      </c>
      <c r="C5">
        <v>200</v>
      </c>
      <c r="D5" s="10" t="s">
        <v>11</v>
      </c>
      <c r="G5" s="9" t="s">
        <v>14</v>
      </c>
      <c r="H5">
        <v>111</v>
      </c>
      <c r="I5" s="10" t="s">
        <v>21</v>
      </c>
      <c r="L5" s="9" t="s">
        <v>55</v>
      </c>
      <c r="M5" s="10" t="s">
        <v>50</v>
      </c>
      <c r="O5" s="9" t="s">
        <v>13</v>
      </c>
      <c r="P5">
        <v>11.1</v>
      </c>
      <c r="Q5" s="10" t="s">
        <v>21</v>
      </c>
    </row>
    <row r="6" spans="2:17" ht="15" thickBot="1" x14ac:dyDescent="0.4">
      <c r="B6" s="9" t="s">
        <v>14</v>
      </c>
      <c r="C6">
        <v>0</v>
      </c>
      <c r="D6" s="10" t="s">
        <v>11</v>
      </c>
      <c r="G6" s="9" t="s">
        <v>32</v>
      </c>
      <c r="H6">
        <v>31.6</v>
      </c>
      <c r="I6" s="10" t="s">
        <v>21</v>
      </c>
      <c r="L6" s="11" t="s">
        <v>52</v>
      </c>
      <c r="M6" s="13" t="s">
        <v>51</v>
      </c>
      <c r="O6" s="9" t="s">
        <v>32</v>
      </c>
      <c r="P6">
        <v>3.16</v>
      </c>
      <c r="Q6" s="10" t="s">
        <v>21</v>
      </c>
    </row>
    <row r="7" spans="2:17" ht="15" thickBot="1" x14ac:dyDescent="0.4">
      <c r="B7" s="9" t="s">
        <v>15</v>
      </c>
      <c r="C7">
        <v>100</v>
      </c>
      <c r="D7" s="10" t="s">
        <v>11</v>
      </c>
      <c r="G7" s="9" t="s">
        <v>33</v>
      </c>
      <c r="H7">
        <v>2.75</v>
      </c>
      <c r="I7" s="10" t="s">
        <v>21</v>
      </c>
      <c r="O7" s="9" t="s">
        <v>33</v>
      </c>
      <c r="P7">
        <v>0.27500000000000002</v>
      </c>
      <c r="Q7" s="10" t="s">
        <v>21</v>
      </c>
    </row>
    <row r="8" spans="2:17" x14ac:dyDescent="0.35">
      <c r="B8" s="9" t="s">
        <v>46</v>
      </c>
      <c r="C8">
        <v>1</v>
      </c>
      <c r="D8" s="10" t="s">
        <v>11</v>
      </c>
      <c r="G8" s="9" t="s">
        <v>62</v>
      </c>
      <c r="H8">
        <v>1</v>
      </c>
      <c r="I8" s="10" t="s">
        <v>21</v>
      </c>
      <c r="L8" s="25" t="s">
        <v>63</v>
      </c>
      <c r="M8" s="26"/>
      <c r="O8" s="9" t="s">
        <v>62</v>
      </c>
      <c r="P8">
        <v>0.1</v>
      </c>
      <c r="Q8" s="10" t="s">
        <v>21</v>
      </c>
    </row>
    <row r="9" spans="2:17" ht="15" thickBot="1" x14ac:dyDescent="0.4">
      <c r="B9" s="11" t="s">
        <v>16</v>
      </c>
      <c r="C9" s="16">
        <f>D9-SUM(C3:C8)</f>
        <v>499</v>
      </c>
      <c r="D9" s="31">
        <v>1000</v>
      </c>
      <c r="G9" s="11" t="s">
        <v>16</v>
      </c>
      <c r="H9" s="16">
        <f>1000-H3-H4-H5-H6-H7-H8</f>
        <v>66.650000000000006</v>
      </c>
      <c r="I9" s="31">
        <v>1000</v>
      </c>
      <c r="L9" s="9" t="s">
        <v>53</v>
      </c>
      <c r="M9" s="10" t="s">
        <v>48</v>
      </c>
      <c r="O9" s="11" t="s">
        <v>16</v>
      </c>
      <c r="P9" s="16">
        <f>100-P3-P4-P5-P6-P7-P8</f>
        <v>6.6650000000000009</v>
      </c>
      <c r="Q9" s="31">
        <v>1000</v>
      </c>
    </row>
    <row r="10" spans="2:17" ht="15" thickBot="1" x14ac:dyDescent="0.4">
      <c r="G10" s="35" t="s">
        <v>66</v>
      </c>
      <c r="H10" s="7"/>
      <c r="I10" s="8"/>
      <c r="L10" s="9" t="s">
        <v>54</v>
      </c>
      <c r="M10" s="10" t="s">
        <v>49</v>
      </c>
      <c r="O10" s="35" t="s">
        <v>66</v>
      </c>
      <c r="P10" s="7"/>
      <c r="Q10" s="8"/>
    </row>
    <row r="11" spans="2:17" ht="15" thickBot="1" x14ac:dyDescent="0.4">
      <c r="C11" s="6" t="s">
        <v>13</v>
      </c>
      <c r="D11" s="7" t="s">
        <v>17</v>
      </c>
      <c r="E11" s="8"/>
      <c r="L11" s="9" t="s">
        <v>64</v>
      </c>
      <c r="M11" s="10" t="s">
        <v>50</v>
      </c>
    </row>
    <row r="12" spans="2:17" ht="15" thickBot="1" x14ac:dyDescent="0.4">
      <c r="C12" s="9" t="s">
        <v>18</v>
      </c>
      <c r="D12">
        <v>100</v>
      </c>
      <c r="E12" s="10" t="s">
        <v>19</v>
      </c>
      <c r="L12" s="11" t="s">
        <v>52</v>
      </c>
      <c r="M12" s="13" t="s">
        <v>51</v>
      </c>
    </row>
    <row r="13" spans="2:17" ht="15" thickBot="1" x14ac:dyDescent="0.4">
      <c r="C13" s="11" t="s">
        <v>16</v>
      </c>
      <c r="D13" s="12">
        <v>500</v>
      </c>
      <c r="E13" s="13" t="s">
        <v>11</v>
      </c>
    </row>
    <row r="14" spans="2:17" ht="15" thickBot="1" x14ac:dyDescent="0.4"/>
    <row r="15" spans="2:17" ht="15" thickBot="1" x14ac:dyDescent="0.4">
      <c r="C15" s="6" t="s">
        <v>14</v>
      </c>
      <c r="D15" s="7" t="s">
        <v>17</v>
      </c>
      <c r="E15" s="8"/>
      <c r="H15" s="6" t="s">
        <v>34</v>
      </c>
      <c r="I15" s="7"/>
      <c r="J15" s="8" t="s">
        <v>70</v>
      </c>
    </row>
    <row r="16" spans="2:17" x14ac:dyDescent="0.35">
      <c r="C16" s="9" t="s">
        <v>20</v>
      </c>
      <c r="D16">
        <v>100</v>
      </c>
      <c r="E16" s="10" t="s">
        <v>19</v>
      </c>
      <c r="H16" s="9" t="s">
        <v>68</v>
      </c>
      <c r="I16">
        <v>30.8</v>
      </c>
      <c r="J16" s="10" t="s">
        <v>19</v>
      </c>
    </row>
    <row r="17" spans="3:10" ht="15" thickBot="1" x14ac:dyDescent="0.4">
      <c r="C17" s="11" t="s">
        <v>16</v>
      </c>
      <c r="D17" s="12">
        <v>500</v>
      </c>
      <c r="E17" s="13" t="s">
        <v>21</v>
      </c>
      <c r="H17" s="9" t="s">
        <v>69</v>
      </c>
      <c r="I17">
        <v>15.4</v>
      </c>
      <c r="J17" s="10" t="s">
        <v>19</v>
      </c>
    </row>
    <row r="18" spans="3:10" ht="15" thickBot="1" x14ac:dyDescent="0.4">
      <c r="H18" s="11" t="s">
        <v>24</v>
      </c>
      <c r="I18" s="12">
        <v>1000</v>
      </c>
      <c r="J18" s="13" t="s">
        <v>21</v>
      </c>
    </row>
    <row r="19" spans="3:10" ht="15" thickBot="1" x14ac:dyDescent="0.4">
      <c r="C19" s="6" t="s">
        <v>22</v>
      </c>
      <c r="D19" s="14"/>
      <c r="E19" s="15"/>
    </row>
    <row r="20" spans="3:10" ht="15" thickBot="1" x14ac:dyDescent="0.4">
      <c r="C20" s="9" t="s">
        <v>23</v>
      </c>
      <c r="D20">
        <v>168</v>
      </c>
      <c r="E20" s="10" t="s">
        <v>19</v>
      </c>
      <c r="H20" s="6" t="s">
        <v>35</v>
      </c>
      <c r="I20" s="7"/>
      <c r="J20" s="8" t="s">
        <v>36</v>
      </c>
    </row>
    <row r="21" spans="3:10" ht="15" thickBot="1" x14ac:dyDescent="0.4">
      <c r="C21" s="11" t="s">
        <v>24</v>
      </c>
      <c r="D21" s="16">
        <v>1000</v>
      </c>
      <c r="E21" s="13" t="s">
        <v>21</v>
      </c>
      <c r="H21" s="9" t="s">
        <v>67</v>
      </c>
      <c r="I21">
        <f>(136.09) *(I22/1000)</f>
        <v>136.09</v>
      </c>
      <c r="J21" s="10" t="s">
        <v>19</v>
      </c>
    </row>
    <row r="22" spans="3:10" ht="15" thickBot="1" x14ac:dyDescent="0.4">
      <c r="H22" s="11" t="s">
        <v>71</v>
      </c>
      <c r="I22" s="12">
        <v>1000</v>
      </c>
      <c r="J22" s="13" t="s">
        <v>21</v>
      </c>
    </row>
    <row r="23" spans="3:10" ht="15" thickBot="1" x14ac:dyDescent="0.4">
      <c r="C23" s="6" t="s">
        <v>25</v>
      </c>
      <c r="D23" s="7"/>
      <c r="E23" s="8"/>
      <c r="H23" t="s">
        <v>72</v>
      </c>
    </row>
    <row r="24" spans="3:10" ht="15" thickBot="1" x14ac:dyDescent="0.4">
      <c r="C24" s="9" t="s">
        <v>26</v>
      </c>
      <c r="D24">
        <v>50</v>
      </c>
      <c r="E24" s="10" t="s">
        <v>19</v>
      </c>
      <c r="H24" s="6" t="s">
        <v>14</v>
      </c>
      <c r="I24" s="7"/>
      <c r="J24" s="8" t="s">
        <v>36</v>
      </c>
    </row>
    <row r="25" spans="3:10" ht="15" thickBot="1" x14ac:dyDescent="0.4">
      <c r="C25" s="11" t="s">
        <v>24</v>
      </c>
      <c r="D25" s="12">
        <v>500</v>
      </c>
      <c r="E25" s="13" t="s">
        <v>21</v>
      </c>
      <c r="H25" s="9" t="s">
        <v>20</v>
      </c>
      <c r="I25">
        <v>100</v>
      </c>
      <c r="J25" s="10" t="s">
        <v>19</v>
      </c>
    </row>
    <row r="26" spans="3:10" ht="15" thickBot="1" x14ac:dyDescent="0.4">
      <c r="H26" s="11" t="s">
        <v>24</v>
      </c>
      <c r="I26" s="12">
        <v>500</v>
      </c>
      <c r="J26" s="13" t="s">
        <v>21</v>
      </c>
    </row>
    <row r="27" spans="3:10" ht="15" thickBot="1" x14ac:dyDescent="0.4">
      <c r="C27" s="6" t="s">
        <v>27</v>
      </c>
      <c r="D27" s="14"/>
      <c r="E27" s="15"/>
    </row>
    <row r="28" spans="3:10" x14ac:dyDescent="0.35">
      <c r="C28" s="9" t="s">
        <v>28</v>
      </c>
      <c r="D28">
        <v>3.85</v>
      </c>
      <c r="E28" s="10" t="s">
        <v>19</v>
      </c>
    </row>
    <row r="29" spans="3:10" ht="15" thickBot="1" x14ac:dyDescent="0.4">
      <c r="C29" s="11" t="s">
        <v>29</v>
      </c>
      <c r="D29" s="12">
        <v>500</v>
      </c>
      <c r="E29" s="13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C605B-14E5-44FC-8D0A-FC4CDE04FC73}">
  <sheetPr>
    <pageSetUpPr fitToPage="1"/>
  </sheetPr>
  <dimension ref="D2:Q62"/>
  <sheetViews>
    <sheetView tabSelected="1" zoomScale="70" zoomScaleNormal="70" workbookViewId="0">
      <selection activeCell="A28" sqref="A28"/>
    </sheetView>
  </sheetViews>
  <sheetFormatPr defaultRowHeight="14.5" x14ac:dyDescent="0.35"/>
  <cols>
    <col min="4" max="4" width="12.81640625" customWidth="1"/>
    <col min="5" max="5" width="12.54296875" customWidth="1"/>
  </cols>
  <sheetData>
    <row r="2" spans="4:17" x14ac:dyDescent="0.35">
      <c r="D2" t="s">
        <v>111</v>
      </c>
    </row>
    <row r="3" spans="4:17" ht="15" thickBot="1" x14ac:dyDescent="0.4">
      <c r="D3" s="2"/>
      <c r="E3" s="2">
        <v>1</v>
      </c>
      <c r="F3" s="2">
        <v>2</v>
      </c>
      <c r="G3" s="2">
        <v>3</v>
      </c>
      <c r="H3" s="2">
        <v>4</v>
      </c>
      <c r="I3" s="2">
        <v>5</v>
      </c>
      <c r="J3" s="2">
        <v>6</v>
      </c>
      <c r="K3" s="2">
        <v>7</v>
      </c>
      <c r="L3" s="2">
        <v>8</v>
      </c>
      <c r="M3" s="2">
        <v>9</v>
      </c>
      <c r="N3" s="2">
        <v>10</v>
      </c>
      <c r="O3" s="2">
        <v>11</v>
      </c>
      <c r="P3" s="2">
        <v>12</v>
      </c>
      <c r="Q3" s="3" t="s">
        <v>9</v>
      </c>
    </row>
    <row r="4" spans="4:17" x14ac:dyDescent="0.35">
      <c r="D4" s="3" t="s">
        <v>1</v>
      </c>
      <c r="E4" s="4" t="s">
        <v>77</v>
      </c>
      <c r="F4" s="4" t="s">
        <v>77</v>
      </c>
      <c r="G4" s="4" t="s">
        <v>77</v>
      </c>
      <c r="H4" s="45" t="s">
        <v>77</v>
      </c>
      <c r="I4" s="4" t="s">
        <v>77</v>
      </c>
      <c r="J4" s="4" t="s">
        <v>77</v>
      </c>
      <c r="K4" s="40" t="s">
        <v>87</v>
      </c>
      <c r="L4" s="40" t="s">
        <v>91</v>
      </c>
      <c r="M4" s="4"/>
      <c r="N4" s="4"/>
      <c r="O4" s="4"/>
      <c r="P4" s="4"/>
    </row>
    <row r="5" spans="4:17" ht="15" thickBot="1" x14ac:dyDescent="0.4">
      <c r="D5" s="3"/>
      <c r="E5" s="5"/>
      <c r="F5" s="5"/>
      <c r="G5" s="5"/>
      <c r="H5" s="5"/>
      <c r="I5" s="5"/>
      <c r="J5" s="5"/>
      <c r="K5" s="41"/>
      <c r="L5" s="41"/>
      <c r="M5" s="5"/>
      <c r="N5" s="5"/>
      <c r="O5" s="5"/>
      <c r="P5" s="5"/>
      <c r="Q5" s="18"/>
    </row>
    <row r="6" spans="4:17" x14ac:dyDescent="0.35">
      <c r="D6" s="3" t="s">
        <v>2</v>
      </c>
      <c r="E6" s="4" t="s">
        <v>77</v>
      </c>
      <c r="F6" s="4" t="s">
        <v>77</v>
      </c>
      <c r="G6" s="4" t="s">
        <v>77</v>
      </c>
      <c r="H6" s="4" t="s">
        <v>77</v>
      </c>
      <c r="I6" s="4" t="s">
        <v>77</v>
      </c>
      <c r="J6" s="45" t="s">
        <v>77</v>
      </c>
      <c r="K6" s="45" t="s">
        <v>87</v>
      </c>
      <c r="L6" s="40" t="s">
        <v>91</v>
      </c>
      <c r="M6" s="4"/>
      <c r="N6" s="4"/>
      <c r="O6" s="4"/>
      <c r="P6" s="4"/>
    </row>
    <row r="7" spans="4:17" ht="15" thickBot="1" x14ac:dyDescent="0.4">
      <c r="D7" s="3"/>
      <c r="E7" s="5"/>
      <c r="F7" s="5"/>
      <c r="G7" s="5"/>
      <c r="H7" s="5"/>
      <c r="I7" s="5"/>
      <c r="J7" s="5"/>
      <c r="K7" s="46"/>
      <c r="L7" s="41"/>
      <c r="M7" s="5"/>
      <c r="N7" s="5"/>
      <c r="O7" s="5"/>
      <c r="P7" s="5"/>
      <c r="Q7" s="18"/>
    </row>
    <row r="8" spans="4:17" x14ac:dyDescent="0.35">
      <c r="D8" s="3" t="s">
        <v>3</v>
      </c>
      <c r="E8" s="4" t="s">
        <v>77</v>
      </c>
      <c r="F8" s="4" t="s">
        <v>77</v>
      </c>
      <c r="G8" s="4" t="s">
        <v>77</v>
      </c>
      <c r="H8" s="40" t="s">
        <v>77</v>
      </c>
      <c r="I8" s="4" t="s">
        <v>77</v>
      </c>
      <c r="J8" s="4" t="s">
        <v>77</v>
      </c>
      <c r="K8" s="47" t="s">
        <v>86</v>
      </c>
      <c r="L8" s="40" t="s">
        <v>92</v>
      </c>
      <c r="M8" s="4"/>
      <c r="N8" s="4"/>
      <c r="O8" s="4"/>
      <c r="P8" s="4"/>
    </row>
    <row r="9" spans="4:17" ht="15" thickBot="1" x14ac:dyDescent="0.4">
      <c r="D9" s="3"/>
      <c r="E9" s="5"/>
      <c r="F9" s="5"/>
      <c r="G9" s="5"/>
      <c r="H9" s="41"/>
      <c r="I9" s="5"/>
      <c r="J9" s="5"/>
      <c r="K9" s="48"/>
      <c r="L9" s="41"/>
      <c r="M9" s="5"/>
      <c r="N9" s="5"/>
      <c r="O9" s="5"/>
      <c r="P9" s="5"/>
      <c r="Q9" s="18"/>
    </row>
    <row r="10" spans="4:17" x14ac:dyDescent="0.35">
      <c r="D10" s="3" t="s">
        <v>4</v>
      </c>
      <c r="E10" s="4" t="s">
        <v>77</v>
      </c>
      <c r="F10" s="4" t="s">
        <v>77</v>
      </c>
      <c r="G10" s="4" t="s">
        <v>77</v>
      </c>
      <c r="H10" s="4" t="s">
        <v>77</v>
      </c>
      <c r="I10" s="4" t="s">
        <v>77</v>
      </c>
      <c r="J10" s="4" t="s">
        <v>77</v>
      </c>
      <c r="K10" s="47" t="s">
        <v>86</v>
      </c>
      <c r="L10" s="4" t="s">
        <v>93</v>
      </c>
      <c r="M10" s="4"/>
      <c r="N10" s="4"/>
      <c r="O10" s="4"/>
      <c r="P10" s="4"/>
    </row>
    <row r="11" spans="4:17" ht="15" thickBot="1" x14ac:dyDescent="0.4">
      <c r="D11" s="3"/>
      <c r="E11" s="5"/>
      <c r="F11" s="5"/>
      <c r="G11" s="5"/>
      <c r="H11" s="5"/>
      <c r="I11" s="5"/>
      <c r="J11" s="5"/>
      <c r="K11" s="48"/>
      <c r="L11" s="5"/>
      <c r="M11" s="5"/>
      <c r="N11" s="5"/>
      <c r="O11" s="5"/>
      <c r="P11" s="5"/>
      <c r="Q11" s="18"/>
    </row>
    <row r="12" spans="4:17" x14ac:dyDescent="0.35">
      <c r="D12" s="3" t="s">
        <v>5</v>
      </c>
      <c r="E12" s="4" t="s">
        <v>77</v>
      </c>
      <c r="F12" s="4" t="s">
        <v>77</v>
      </c>
      <c r="G12" s="4" t="s">
        <v>77</v>
      </c>
      <c r="H12" s="45" t="s">
        <v>77</v>
      </c>
      <c r="I12" s="4" t="s">
        <v>77</v>
      </c>
      <c r="J12" s="4" t="s">
        <v>77</v>
      </c>
      <c r="K12" s="4" t="s">
        <v>78</v>
      </c>
      <c r="L12" s="4" t="s">
        <v>94</v>
      </c>
      <c r="M12" s="4"/>
      <c r="N12" s="4"/>
      <c r="O12" s="4"/>
      <c r="P12" s="4"/>
    </row>
    <row r="13" spans="4:17" ht="15" thickBot="1" x14ac:dyDescent="0.4">
      <c r="D13" s="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18"/>
    </row>
    <row r="14" spans="4:17" x14ac:dyDescent="0.35">
      <c r="D14" s="3" t="s">
        <v>6</v>
      </c>
      <c r="E14" s="4" t="s">
        <v>77</v>
      </c>
      <c r="F14" s="4" t="s">
        <v>77</v>
      </c>
      <c r="G14" s="4" t="s">
        <v>77</v>
      </c>
      <c r="H14" s="4" t="s">
        <v>77</v>
      </c>
      <c r="I14" s="45" t="s">
        <v>77</v>
      </c>
      <c r="J14" s="4" t="s">
        <v>77</v>
      </c>
      <c r="K14" s="4" t="s">
        <v>78</v>
      </c>
      <c r="L14" s="4" t="s">
        <v>95</v>
      </c>
      <c r="M14" s="4"/>
      <c r="N14" s="4"/>
      <c r="O14" s="4"/>
      <c r="P14" s="4"/>
    </row>
    <row r="15" spans="4:17" ht="15" thickBot="1" x14ac:dyDescent="0.4">
      <c r="D15" s="3"/>
      <c r="E15" s="5"/>
      <c r="F15" s="5"/>
      <c r="G15" s="5"/>
      <c r="H15" s="5"/>
      <c r="I15" s="46"/>
      <c r="J15" s="5"/>
      <c r="K15" s="5"/>
      <c r="L15" s="5"/>
      <c r="M15" s="5"/>
      <c r="N15" s="5"/>
      <c r="O15" s="5"/>
      <c r="P15" s="5"/>
      <c r="Q15" s="18"/>
    </row>
    <row r="16" spans="4:17" x14ac:dyDescent="0.35">
      <c r="D16" s="3" t="s">
        <v>7</v>
      </c>
      <c r="E16" s="4" t="s">
        <v>77</v>
      </c>
      <c r="F16" s="47" t="s">
        <v>97</v>
      </c>
      <c r="G16" s="4" t="s">
        <v>77</v>
      </c>
      <c r="H16" s="45" t="s">
        <v>77</v>
      </c>
      <c r="I16" s="4" t="s">
        <v>77</v>
      </c>
      <c r="J16" s="4" t="s">
        <v>77</v>
      </c>
      <c r="K16" s="47" t="s">
        <v>75</v>
      </c>
      <c r="L16" s="4" t="s">
        <v>96</v>
      </c>
      <c r="M16" s="4"/>
      <c r="N16" s="4"/>
      <c r="O16" s="4"/>
      <c r="P16" s="4"/>
    </row>
    <row r="17" spans="4:17" ht="15" thickBot="1" x14ac:dyDescent="0.4">
      <c r="D17" s="3"/>
      <c r="E17" s="5"/>
      <c r="F17" s="48"/>
      <c r="G17" s="5"/>
      <c r="H17" s="5"/>
      <c r="I17" s="5"/>
      <c r="J17" s="5"/>
      <c r="K17" s="48"/>
      <c r="L17" s="5"/>
      <c r="M17" s="5"/>
      <c r="N17" s="5"/>
      <c r="O17" s="5"/>
      <c r="P17" s="5"/>
    </row>
    <row r="18" spans="4:17" x14ac:dyDescent="0.35">
      <c r="D18" s="3" t="s">
        <v>8</v>
      </c>
      <c r="E18" s="4" t="s">
        <v>77</v>
      </c>
      <c r="F18" s="4" t="s">
        <v>77</v>
      </c>
      <c r="G18" s="4" t="s">
        <v>77</v>
      </c>
      <c r="H18" s="4" t="s">
        <v>77</v>
      </c>
      <c r="I18" s="4" t="s">
        <v>77</v>
      </c>
      <c r="J18" s="4" t="s">
        <v>77</v>
      </c>
      <c r="K18" s="47" t="s">
        <v>75</v>
      </c>
      <c r="L18" s="47" t="s">
        <v>97</v>
      </c>
      <c r="M18" s="4"/>
      <c r="N18" s="4"/>
      <c r="O18" s="4"/>
      <c r="P18" s="4"/>
    </row>
    <row r="19" spans="4:17" ht="15" thickBot="1" x14ac:dyDescent="0.4">
      <c r="D19" s="3"/>
      <c r="E19" s="5"/>
      <c r="F19" s="5"/>
      <c r="G19" s="5"/>
      <c r="H19" s="5"/>
      <c r="I19" s="5"/>
      <c r="J19" s="5"/>
      <c r="K19" s="48"/>
      <c r="L19" s="48"/>
      <c r="M19" s="5"/>
      <c r="N19" s="5"/>
      <c r="O19" s="5"/>
      <c r="P19" s="5"/>
    </row>
    <row r="23" spans="4:17" x14ac:dyDescent="0.35">
      <c r="D23" t="s">
        <v>112</v>
      </c>
    </row>
    <row r="24" spans="4:17" x14ac:dyDescent="0.35">
      <c r="L24" s="44" t="s">
        <v>99</v>
      </c>
    </row>
    <row r="25" spans="4:17" ht="15" thickBot="1" x14ac:dyDescent="0.4">
      <c r="D25" s="2"/>
      <c r="E25" s="2">
        <v>1</v>
      </c>
      <c r="F25" s="2">
        <v>2</v>
      </c>
      <c r="G25" s="2">
        <v>3</v>
      </c>
      <c r="H25" s="2">
        <v>4</v>
      </c>
      <c r="I25" s="2">
        <v>5</v>
      </c>
      <c r="J25" s="2">
        <v>6</v>
      </c>
      <c r="K25" s="2">
        <v>7</v>
      </c>
      <c r="L25" s="2">
        <v>8</v>
      </c>
      <c r="M25" s="2">
        <v>9</v>
      </c>
      <c r="N25" s="2">
        <v>10</v>
      </c>
      <c r="O25" s="2">
        <v>11</v>
      </c>
      <c r="P25" s="2">
        <v>12</v>
      </c>
      <c r="Q25" s="3" t="s">
        <v>9</v>
      </c>
    </row>
    <row r="26" spans="4:17" x14ac:dyDescent="0.35">
      <c r="D26" s="3" t="s">
        <v>1</v>
      </c>
      <c r="E26" s="4" t="s">
        <v>77</v>
      </c>
      <c r="F26" s="4" t="s">
        <v>77</v>
      </c>
      <c r="G26" s="4" t="s">
        <v>77</v>
      </c>
      <c r="H26" s="4" t="s">
        <v>77</v>
      </c>
      <c r="I26" s="4" t="s">
        <v>77</v>
      </c>
      <c r="J26" s="4" t="s">
        <v>77</v>
      </c>
      <c r="K26" s="4" t="s">
        <v>87</v>
      </c>
      <c r="L26" s="40" t="s">
        <v>91</v>
      </c>
      <c r="M26" s="4"/>
      <c r="N26" s="4"/>
      <c r="O26" s="4"/>
      <c r="P26" s="4"/>
    </row>
    <row r="27" spans="4:17" ht="15" thickBot="1" x14ac:dyDescent="0.4">
      <c r="D27" s="3"/>
      <c r="E27" s="5"/>
      <c r="F27" s="5"/>
      <c r="G27" s="5"/>
      <c r="H27" s="5"/>
      <c r="I27" s="5"/>
      <c r="J27" s="5"/>
      <c r="K27" s="5"/>
      <c r="L27" s="41"/>
      <c r="M27" s="5"/>
      <c r="N27" s="5"/>
      <c r="O27" s="5"/>
      <c r="P27" s="5"/>
      <c r="Q27" s="18"/>
    </row>
    <row r="28" spans="4:17" x14ac:dyDescent="0.35">
      <c r="D28" s="3" t="s">
        <v>2</v>
      </c>
      <c r="E28" s="4" t="s">
        <v>77</v>
      </c>
      <c r="F28" s="4" t="s">
        <v>77</v>
      </c>
      <c r="G28" s="4" t="s">
        <v>77</v>
      </c>
      <c r="H28" s="4" t="s">
        <v>77</v>
      </c>
      <c r="I28" s="4" t="s">
        <v>77</v>
      </c>
      <c r="J28" s="4" t="s">
        <v>77</v>
      </c>
      <c r="K28" s="40" t="s">
        <v>87</v>
      </c>
      <c r="L28" s="40" t="s">
        <v>91</v>
      </c>
      <c r="M28" s="4"/>
      <c r="N28" s="4"/>
      <c r="O28" s="4"/>
      <c r="P28" s="4"/>
    </row>
    <row r="29" spans="4:17" ht="15" thickBot="1" x14ac:dyDescent="0.4">
      <c r="D29" s="3"/>
      <c r="E29" s="5"/>
      <c r="F29" s="5"/>
      <c r="G29" s="5"/>
      <c r="H29" s="5"/>
      <c r="I29" s="5"/>
      <c r="J29" s="5"/>
      <c r="K29" s="41"/>
      <c r="L29" s="41"/>
      <c r="M29" s="5"/>
      <c r="N29" s="5"/>
      <c r="O29" s="5"/>
      <c r="P29" s="5"/>
      <c r="Q29" s="18"/>
    </row>
    <row r="30" spans="4:17" x14ac:dyDescent="0.35">
      <c r="D30" s="3" t="s">
        <v>3</v>
      </c>
      <c r="E30" s="4" t="s">
        <v>77</v>
      </c>
      <c r="F30" s="4" t="s">
        <v>77</v>
      </c>
      <c r="G30" s="40" t="s">
        <v>77</v>
      </c>
      <c r="H30" s="4" t="s">
        <v>77</v>
      </c>
      <c r="I30" s="4" t="s">
        <v>77</v>
      </c>
      <c r="J30" s="40" t="s">
        <v>77</v>
      </c>
      <c r="K30" s="47" t="s">
        <v>86</v>
      </c>
      <c r="L30" s="40" t="s">
        <v>92</v>
      </c>
      <c r="M30" s="4"/>
      <c r="N30" s="4"/>
      <c r="O30" s="4"/>
      <c r="P30" s="4"/>
    </row>
    <row r="31" spans="4:17" ht="15" thickBot="1" x14ac:dyDescent="0.4">
      <c r="D31" s="3"/>
      <c r="E31" s="5"/>
      <c r="F31" s="5"/>
      <c r="G31" s="41"/>
      <c r="H31" s="5"/>
      <c r="I31" s="5"/>
      <c r="J31" s="41"/>
      <c r="K31" s="48"/>
      <c r="L31" s="41"/>
      <c r="M31" s="5"/>
      <c r="N31" s="5"/>
      <c r="O31" s="5"/>
      <c r="P31" s="5"/>
      <c r="Q31" s="18"/>
    </row>
    <row r="32" spans="4:17" x14ac:dyDescent="0.35">
      <c r="D32" s="3" t="s">
        <v>4</v>
      </c>
      <c r="E32" s="4" t="s">
        <v>77</v>
      </c>
      <c r="F32" s="4" t="s">
        <v>77</v>
      </c>
      <c r="G32" s="4" t="s">
        <v>77</v>
      </c>
      <c r="H32" s="4" t="s">
        <v>77</v>
      </c>
      <c r="I32" s="4" t="s">
        <v>77</v>
      </c>
      <c r="J32" s="4" t="s">
        <v>77</v>
      </c>
      <c r="K32" s="47" t="s">
        <v>86</v>
      </c>
      <c r="L32" s="4" t="s">
        <v>93</v>
      </c>
      <c r="M32" s="4"/>
      <c r="N32" s="4"/>
      <c r="O32" s="4"/>
      <c r="P32" s="4"/>
    </row>
    <row r="33" spans="4:17" ht="15" thickBot="1" x14ac:dyDescent="0.4">
      <c r="D33" s="3"/>
      <c r="E33" s="5"/>
      <c r="F33" s="5"/>
      <c r="G33" s="5"/>
      <c r="H33" s="5"/>
      <c r="I33" s="5"/>
      <c r="J33" s="5"/>
      <c r="K33" s="48"/>
      <c r="L33" s="5"/>
      <c r="M33" s="5"/>
      <c r="N33" s="5"/>
      <c r="O33" s="5"/>
      <c r="P33" s="5"/>
      <c r="Q33" s="18"/>
    </row>
    <row r="34" spans="4:17" x14ac:dyDescent="0.35">
      <c r="D34" s="3" t="s">
        <v>5</v>
      </c>
      <c r="E34" s="4" t="s">
        <v>77</v>
      </c>
      <c r="F34" s="4" t="s">
        <v>77</v>
      </c>
      <c r="G34" s="4" t="s">
        <v>77</v>
      </c>
      <c r="H34" s="4" t="s">
        <v>77</v>
      </c>
      <c r="I34" s="4" t="s">
        <v>77</v>
      </c>
      <c r="J34" s="4" t="s">
        <v>77</v>
      </c>
      <c r="K34" s="4" t="s">
        <v>78</v>
      </c>
      <c r="L34" s="4" t="s">
        <v>94</v>
      </c>
      <c r="M34" s="4"/>
      <c r="N34" s="4"/>
      <c r="O34" s="4"/>
      <c r="P34" s="4"/>
    </row>
    <row r="35" spans="4:17" ht="15" thickBot="1" x14ac:dyDescent="0.4">
      <c r="D35" s="3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18"/>
    </row>
    <row r="36" spans="4:17" x14ac:dyDescent="0.35">
      <c r="D36" s="3" t="s">
        <v>6</v>
      </c>
      <c r="E36" s="4" t="s">
        <v>77</v>
      </c>
      <c r="F36" s="4" t="s">
        <v>77</v>
      </c>
      <c r="G36" s="4" t="s">
        <v>77</v>
      </c>
      <c r="H36" s="4" t="s">
        <v>77</v>
      </c>
      <c r="I36" s="4" t="s">
        <v>77</v>
      </c>
      <c r="J36" s="4" t="s">
        <v>77</v>
      </c>
      <c r="K36" s="4" t="s">
        <v>78</v>
      </c>
      <c r="L36" s="4" t="s">
        <v>95</v>
      </c>
      <c r="M36" s="4"/>
      <c r="N36" s="4"/>
      <c r="O36" s="4"/>
      <c r="P36" s="4"/>
    </row>
    <row r="37" spans="4:17" ht="15" thickBot="1" x14ac:dyDescent="0.4">
      <c r="D37" s="3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18"/>
    </row>
    <row r="38" spans="4:17" x14ac:dyDescent="0.35">
      <c r="D38" s="3" t="s">
        <v>7</v>
      </c>
      <c r="E38" s="40" t="s">
        <v>77</v>
      </c>
      <c r="F38" s="4" t="s">
        <v>77</v>
      </c>
      <c r="G38" s="4" t="s">
        <v>77</v>
      </c>
      <c r="H38" s="4" t="s">
        <v>77</v>
      </c>
      <c r="I38" s="4" t="s">
        <v>77</v>
      </c>
      <c r="J38" s="4" t="s">
        <v>77</v>
      </c>
      <c r="K38" s="47" t="s">
        <v>75</v>
      </c>
      <c r="L38" s="4" t="s">
        <v>96</v>
      </c>
      <c r="M38" s="4"/>
      <c r="N38" s="4"/>
      <c r="O38" s="4"/>
      <c r="P38" s="4"/>
    </row>
    <row r="39" spans="4:17" ht="15" thickBot="1" x14ac:dyDescent="0.4">
      <c r="D39" s="3"/>
      <c r="E39" s="41"/>
      <c r="F39" s="5"/>
      <c r="G39" s="5"/>
      <c r="H39" s="5"/>
      <c r="I39" s="5"/>
      <c r="J39" s="5"/>
      <c r="K39" s="48"/>
      <c r="L39" s="5"/>
      <c r="M39" s="5"/>
      <c r="N39" s="5"/>
      <c r="O39" s="5"/>
      <c r="P39" s="5"/>
    </row>
    <row r="40" spans="4:17" x14ac:dyDescent="0.35">
      <c r="D40" s="3" t="s">
        <v>8</v>
      </c>
      <c r="E40" s="40" t="s">
        <v>77</v>
      </c>
      <c r="F40" s="4" t="s">
        <v>77</v>
      </c>
      <c r="G40" s="4" t="s">
        <v>77</v>
      </c>
      <c r="H40" s="4" t="s">
        <v>77</v>
      </c>
      <c r="I40" s="4" t="s">
        <v>77</v>
      </c>
      <c r="J40" s="4" t="s">
        <v>77</v>
      </c>
      <c r="K40" s="47" t="s">
        <v>75</v>
      </c>
      <c r="L40" s="47" t="s">
        <v>97</v>
      </c>
      <c r="M40" s="4"/>
      <c r="N40" s="4"/>
      <c r="O40" s="4"/>
      <c r="P40" s="4"/>
    </row>
    <row r="41" spans="4:17" ht="15" thickBot="1" x14ac:dyDescent="0.4">
      <c r="D41" s="3"/>
      <c r="E41" s="41"/>
      <c r="F41" s="5"/>
      <c r="G41" s="5"/>
      <c r="H41" s="5"/>
      <c r="I41" s="5"/>
      <c r="J41" s="5"/>
      <c r="K41" s="48"/>
      <c r="L41" s="48"/>
      <c r="M41" s="5"/>
      <c r="N41" s="5"/>
      <c r="O41" s="5"/>
      <c r="P41" s="5"/>
    </row>
    <row r="43" spans="4:17" x14ac:dyDescent="0.35">
      <c r="D43" t="s">
        <v>113</v>
      </c>
    </row>
    <row r="44" spans="4:17" x14ac:dyDescent="0.35">
      <c r="D44" s="38" t="s">
        <v>83</v>
      </c>
      <c r="E44" s="39">
        <v>45630</v>
      </c>
    </row>
    <row r="45" spans="4:17" x14ac:dyDescent="0.35">
      <c r="E45" s="49">
        <v>0.41666666666666669</v>
      </c>
    </row>
    <row r="46" spans="4:17" ht="15" thickBot="1" x14ac:dyDescent="0.4">
      <c r="D46" s="2">
        <v>4</v>
      </c>
      <c r="E46" s="2">
        <v>5</v>
      </c>
    </row>
    <row r="47" spans="4:17" x14ac:dyDescent="0.35">
      <c r="D47" s="4" t="s">
        <v>91</v>
      </c>
      <c r="E47" s="4" t="s">
        <v>91</v>
      </c>
    </row>
    <row r="48" spans="4:17" ht="15" thickBot="1" x14ac:dyDescent="0.4">
      <c r="D48" s="5"/>
      <c r="E48" s="5"/>
    </row>
    <row r="49" spans="4:5" x14ac:dyDescent="0.35">
      <c r="D49" s="4" t="s">
        <v>101</v>
      </c>
      <c r="E49" s="4" t="s">
        <v>101</v>
      </c>
    </row>
    <row r="50" spans="4:5" ht="15" thickBot="1" x14ac:dyDescent="0.4">
      <c r="D50" s="5"/>
      <c r="E50" s="5"/>
    </row>
    <row r="51" spans="4:5" x14ac:dyDescent="0.35">
      <c r="D51" s="4" t="s">
        <v>102</v>
      </c>
      <c r="E51" s="4" t="s">
        <v>102</v>
      </c>
    </row>
    <row r="52" spans="4:5" ht="15" thickBot="1" x14ac:dyDescent="0.4">
      <c r="D52" s="5"/>
      <c r="E52" s="5"/>
    </row>
    <row r="53" spans="4:5" x14ac:dyDescent="0.35">
      <c r="D53" s="4" t="s">
        <v>106</v>
      </c>
      <c r="E53" s="4" t="s">
        <v>106</v>
      </c>
    </row>
    <row r="54" spans="4:5" ht="15" thickBot="1" x14ac:dyDescent="0.4">
      <c r="D54" s="5"/>
      <c r="E54" s="5"/>
    </row>
    <row r="55" spans="4:5" x14ac:dyDescent="0.35">
      <c r="D55" s="4" t="s">
        <v>107</v>
      </c>
      <c r="E55" s="4" t="s">
        <v>107</v>
      </c>
    </row>
    <row r="56" spans="4:5" ht="15" thickBot="1" x14ac:dyDescent="0.4">
      <c r="D56" s="5"/>
      <c r="E56" s="5"/>
    </row>
    <row r="57" spans="4:5" x14ac:dyDescent="0.35">
      <c r="D57" s="4" t="s">
        <v>87</v>
      </c>
      <c r="E57" s="4" t="s">
        <v>87</v>
      </c>
    </row>
    <row r="58" spans="4:5" ht="15" thickBot="1" x14ac:dyDescent="0.4">
      <c r="D58" s="5"/>
      <c r="E58" s="5"/>
    </row>
    <row r="59" spans="4:5" x14ac:dyDescent="0.35">
      <c r="D59" s="4" t="s">
        <v>87</v>
      </c>
      <c r="E59" s="4" t="s">
        <v>87</v>
      </c>
    </row>
    <row r="60" spans="4:5" ht="15" thickBot="1" x14ac:dyDescent="0.4">
      <c r="D60" s="5"/>
      <c r="E60" s="5"/>
    </row>
    <row r="61" spans="4:5" x14ac:dyDescent="0.35">
      <c r="D61" s="4" t="s">
        <v>78</v>
      </c>
      <c r="E61" s="4" t="s">
        <v>78</v>
      </c>
    </row>
    <row r="62" spans="4:5" ht="15" thickBot="1" x14ac:dyDescent="0.4">
      <c r="D62" s="5"/>
      <c r="E62" s="5"/>
    </row>
  </sheetData>
  <pageMargins left="0.7" right="0.7" top="0.75" bottom="0.75" header="0.3" footer="0.3"/>
  <pageSetup paperSize="9" scale="5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3CBB-8AE9-4351-93BF-3C7255E9746F}">
  <dimension ref="E3:R63"/>
  <sheetViews>
    <sheetView topLeftCell="A30" zoomScale="66" zoomScaleNormal="85" workbookViewId="0">
      <selection activeCell="J48" sqref="J48"/>
    </sheetView>
  </sheetViews>
  <sheetFormatPr defaultRowHeight="14.5" x14ac:dyDescent="0.35"/>
  <cols>
    <col min="5" max="5" width="9.54296875" bestFit="1" customWidth="1"/>
    <col min="6" max="6" width="14.1796875" customWidth="1"/>
    <col min="12" max="12" width="10.1796875" bestFit="1" customWidth="1"/>
  </cols>
  <sheetData>
    <row r="3" spans="5:18" x14ac:dyDescent="0.35">
      <c r="E3" t="s">
        <v>111</v>
      </c>
    </row>
    <row r="4" spans="5:18" ht="15" thickBot="1" x14ac:dyDescent="0.4">
      <c r="E4" s="2"/>
      <c r="F4" s="2">
        <v>1</v>
      </c>
      <c r="G4" s="2">
        <v>2</v>
      </c>
      <c r="H4" s="2">
        <v>3</v>
      </c>
      <c r="I4" s="2">
        <v>4</v>
      </c>
      <c r="J4" s="2">
        <v>5</v>
      </c>
      <c r="K4" s="2">
        <v>6</v>
      </c>
      <c r="L4" s="2">
        <v>7</v>
      </c>
      <c r="M4" s="2">
        <v>8</v>
      </c>
      <c r="N4" s="2">
        <v>9</v>
      </c>
      <c r="O4" s="2">
        <v>10</v>
      </c>
      <c r="P4" s="2">
        <v>11</v>
      </c>
      <c r="Q4" s="2">
        <v>12</v>
      </c>
      <c r="R4" s="3" t="s">
        <v>9</v>
      </c>
    </row>
    <row r="5" spans="5:18" x14ac:dyDescent="0.35">
      <c r="E5" s="3" t="s">
        <v>1</v>
      </c>
      <c r="F5" s="4" t="s">
        <v>77</v>
      </c>
      <c r="G5" s="4" t="s">
        <v>77</v>
      </c>
      <c r="H5" s="4" t="s">
        <v>77</v>
      </c>
      <c r="I5" s="45" t="s">
        <v>77</v>
      </c>
      <c r="J5" s="4" t="s">
        <v>77</v>
      </c>
      <c r="K5" s="4" t="s">
        <v>77</v>
      </c>
      <c r="L5" s="40" t="s">
        <v>87</v>
      </c>
      <c r="M5" s="40" t="s">
        <v>91</v>
      </c>
      <c r="N5" s="4"/>
      <c r="O5" s="4"/>
      <c r="P5" s="4"/>
      <c r="Q5" s="4"/>
    </row>
    <row r="6" spans="5:18" ht="15" thickBot="1" x14ac:dyDescent="0.4">
      <c r="E6" s="3"/>
      <c r="F6" s="5"/>
      <c r="G6" s="5"/>
      <c r="H6" s="5"/>
      <c r="I6" s="5"/>
      <c r="J6" s="5"/>
      <c r="K6" s="5"/>
      <c r="L6" s="41"/>
      <c r="M6" s="41"/>
      <c r="N6" s="5"/>
      <c r="O6" s="5"/>
      <c r="P6" s="5"/>
      <c r="Q6" s="5"/>
      <c r="R6" s="18"/>
    </row>
    <row r="7" spans="5:18" x14ac:dyDescent="0.35">
      <c r="E7" s="3" t="s">
        <v>2</v>
      </c>
      <c r="F7" s="4" t="s">
        <v>77</v>
      </c>
      <c r="G7" s="4" t="s">
        <v>77</v>
      </c>
      <c r="H7" s="4" t="s">
        <v>77</v>
      </c>
      <c r="I7" s="4" t="s">
        <v>77</v>
      </c>
      <c r="J7" s="4" t="s">
        <v>77</v>
      </c>
      <c r="K7" s="45" t="s">
        <v>77</v>
      </c>
      <c r="L7" s="45" t="s">
        <v>87</v>
      </c>
      <c r="M7" s="40" t="s">
        <v>91</v>
      </c>
      <c r="N7" s="4"/>
      <c r="O7" s="4"/>
      <c r="P7" s="4"/>
      <c r="Q7" s="4"/>
    </row>
    <row r="8" spans="5:18" ht="15" thickBot="1" x14ac:dyDescent="0.4">
      <c r="E8" s="3"/>
      <c r="F8" s="5"/>
      <c r="G8" s="5"/>
      <c r="H8" s="5"/>
      <c r="I8" s="5"/>
      <c r="J8" s="5"/>
      <c r="K8" s="5"/>
      <c r="L8" s="46"/>
      <c r="M8" s="41"/>
      <c r="N8" s="5"/>
      <c r="O8" s="5"/>
      <c r="P8" s="5"/>
      <c r="Q8" s="5"/>
      <c r="R8" s="18"/>
    </row>
    <row r="9" spans="5:18" x14ac:dyDescent="0.35">
      <c r="E9" s="3" t="s">
        <v>3</v>
      </c>
      <c r="F9" s="4" t="s">
        <v>77</v>
      </c>
      <c r="G9" s="4" t="s">
        <v>77</v>
      </c>
      <c r="H9" s="4" t="s">
        <v>77</v>
      </c>
      <c r="I9" s="40" t="s">
        <v>77</v>
      </c>
      <c r="J9" s="4" t="s">
        <v>77</v>
      </c>
      <c r="K9" s="4" t="s">
        <v>77</v>
      </c>
      <c r="L9" s="47" t="s">
        <v>86</v>
      </c>
      <c r="M9" s="40" t="s">
        <v>92</v>
      </c>
      <c r="N9" s="4"/>
      <c r="O9" s="4"/>
      <c r="P9" s="4"/>
      <c r="Q9" s="4"/>
    </row>
    <row r="10" spans="5:18" ht="15" thickBot="1" x14ac:dyDescent="0.4">
      <c r="E10" s="3"/>
      <c r="F10" s="5"/>
      <c r="G10" s="5"/>
      <c r="H10" s="5"/>
      <c r="I10" s="41"/>
      <c r="J10" s="5"/>
      <c r="K10" s="5"/>
      <c r="L10" s="48"/>
      <c r="M10" s="41"/>
      <c r="N10" s="5"/>
      <c r="O10" s="5"/>
      <c r="P10" s="5"/>
      <c r="Q10" s="5"/>
      <c r="R10" s="18"/>
    </row>
    <row r="11" spans="5:18" x14ac:dyDescent="0.35">
      <c r="E11" s="3" t="s">
        <v>4</v>
      </c>
      <c r="F11" s="4" t="s">
        <v>77</v>
      </c>
      <c r="G11" s="4" t="s">
        <v>77</v>
      </c>
      <c r="H11" s="4" t="s">
        <v>77</v>
      </c>
      <c r="I11" s="4" t="s">
        <v>77</v>
      </c>
      <c r="J11" s="4" t="s">
        <v>77</v>
      </c>
      <c r="K11" s="4" t="s">
        <v>77</v>
      </c>
      <c r="L11" s="47" t="s">
        <v>86</v>
      </c>
      <c r="M11" s="4" t="s">
        <v>93</v>
      </c>
      <c r="N11" s="4"/>
      <c r="O11" s="4"/>
      <c r="P11" s="4"/>
      <c r="Q11" s="4"/>
    </row>
    <row r="12" spans="5:18" ht="15" thickBot="1" x14ac:dyDescent="0.4">
      <c r="E12" s="3"/>
      <c r="F12" s="5"/>
      <c r="G12" s="5"/>
      <c r="H12" s="5"/>
      <c r="I12" s="5"/>
      <c r="J12" s="5"/>
      <c r="K12" s="5"/>
      <c r="L12" s="48"/>
      <c r="M12" s="5"/>
      <c r="N12" s="5"/>
      <c r="O12" s="5"/>
      <c r="P12" s="5"/>
      <c r="Q12" s="5"/>
      <c r="R12" s="18"/>
    </row>
    <row r="13" spans="5:18" x14ac:dyDescent="0.35">
      <c r="E13" s="3" t="s">
        <v>5</v>
      </c>
      <c r="F13" s="4" t="s">
        <v>77</v>
      </c>
      <c r="G13" s="4" t="s">
        <v>77</v>
      </c>
      <c r="H13" s="4" t="s">
        <v>77</v>
      </c>
      <c r="I13" s="45" t="s">
        <v>77</v>
      </c>
      <c r="J13" s="4" t="s">
        <v>77</v>
      </c>
      <c r="K13" s="4" t="s">
        <v>77</v>
      </c>
      <c r="L13" s="4" t="s">
        <v>78</v>
      </c>
      <c r="M13" s="4" t="s">
        <v>94</v>
      </c>
      <c r="N13" s="4"/>
      <c r="O13" s="4"/>
      <c r="P13" s="4"/>
      <c r="Q13" s="4"/>
    </row>
    <row r="14" spans="5:18" ht="15" thickBot="1" x14ac:dyDescent="0.4">
      <c r="E14" s="3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18"/>
    </row>
    <row r="15" spans="5:18" x14ac:dyDescent="0.35">
      <c r="E15" s="3" t="s">
        <v>6</v>
      </c>
      <c r="F15" s="4" t="s">
        <v>77</v>
      </c>
      <c r="G15" s="4" t="s">
        <v>77</v>
      </c>
      <c r="H15" s="4" t="s">
        <v>77</v>
      </c>
      <c r="I15" s="4" t="s">
        <v>77</v>
      </c>
      <c r="J15" s="45" t="s">
        <v>77</v>
      </c>
      <c r="K15" s="4" t="s">
        <v>77</v>
      </c>
      <c r="L15" s="4" t="s">
        <v>78</v>
      </c>
      <c r="M15" s="4" t="s">
        <v>95</v>
      </c>
      <c r="N15" s="4"/>
      <c r="O15" s="4"/>
      <c r="P15" s="4"/>
      <c r="Q15" s="4"/>
    </row>
    <row r="16" spans="5:18" ht="15" thickBot="1" x14ac:dyDescent="0.4">
      <c r="E16" s="3"/>
      <c r="F16" s="5"/>
      <c r="G16" s="5"/>
      <c r="H16" s="5"/>
      <c r="I16" s="5"/>
      <c r="J16" s="46"/>
      <c r="K16" s="5"/>
      <c r="L16" s="5"/>
      <c r="M16" s="5"/>
      <c r="N16" s="5"/>
      <c r="O16" s="5"/>
      <c r="P16" s="5"/>
      <c r="Q16" s="5"/>
      <c r="R16" s="18"/>
    </row>
    <row r="17" spans="5:18" x14ac:dyDescent="0.35">
      <c r="E17" s="3" t="s">
        <v>7</v>
      </c>
      <c r="F17" s="4" t="s">
        <v>77</v>
      </c>
      <c r="G17" s="47" t="s">
        <v>97</v>
      </c>
      <c r="H17" s="4" t="s">
        <v>77</v>
      </c>
      <c r="I17" s="45" t="s">
        <v>77</v>
      </c>
      <c r="J17" s="4" t="s">
        <v>77</v>
      </c>
      <c r="K17" s="4" t="s">
        <v>77</v>
      </c>
      <c r="L17" s="47" t="s">
        <v>75</v>
      </c>
      <c r="M17" s="4" t="s">
        <v>96</v>
      </c>
      <c r="N17" s="4"/>
      <c r="O17" s="4"/>
      <c r="P17" s="4"/>
      <c r="Q17" s="4"/>
    </row>
    <row r="18" spans="5:18" ht="15" thickBot="1" x14ac:dyDescent="0.4">
      <c r="E18" s="3"/>
      <c r="F18" s="5"/>
      <c r="G18" s="48"/>
      <c r="H18" s="5"/>
      <c r="I18" s="5"/>
      <c r="J18" s="5"/>
      <c r="K18" s="5"/>
      <c r="L18" s="48"/>
      <c r="M18" s="5"/>
      <c r="N18" s="5"/>
      <c r="O18" s="5"/>
      <c r="P18" s="5"/>
      <c r="Q18" s="5"/>
    </row>
    <row r="19" spans="5:18" x14ac:dyDescent="0.35">
      <c r="E19" s="3" t="s">
        <v>8</v>
      </c>
      <c r="F19" s="4" t="s">
        <v>77</v>
      </c>
      <c r="G19" s="4" t="s">
        <v>77</v>
      </c>
      <c r="H19" s="4" t="s">
        <v>77</v>
      </c>
      <c r="I19" s="4" t="s">
        <v>77</v>
      </c>
      <c r="J19" s="4" t="s">
        <v>77</v>
      </c>
      <c r="K19" s="4" t="s">
        <v>77</v>
      </c>
      <c r="L19" s="47" t="s">
        <v>75</v>
      </c>
      <c r="M19" s="47" t="s">
        <v>97</v>
      </c>
      <c r="N19" s="4"/>
      <c r="O19" s="4"/>
      <c r="P19" s="4"/>
      <c r="Q19" s="4"/>
    </row>
    <row r="20" spans="5:18" ht="15" thickBot="1" x14ac:dyDescent="0.4">
      <c r="E20" s="3"/>
      <c r="F20" s="5"/>
      <c r="G20" s="5"/>
      <c r="H20" s="5"/>
      <c r="I20" s="5"/>
      <c r="J20" s="5"/>
      <c r="K20" s="5"/>
      <c r="L20" s="48"/>
      <c r="M20" s="48"/>
      <c r="N20" s="5"/>
      <c r="O20" s="5"/>
      <c r="P20" s="5"/>
      <c r="Q20" s="5"/>
    </row>
    <row r="24" spans="5:18" x14ac:dyDescent="0.35">
      <c r="E24" t="s">
        <v>112</v>
      </c>
    </row>
    <row r="25" spans="5:18" x14ac:dyDescent="0.35">
      <c r="M25" s="44" t="s">
        <v>99</v>
      </c>
    </row>
    <row r="26" spans="5:18" ht="15" thickBot="1" x14ac:dyDescent="0.4">
      <c r="E26" s="2"/>
      <c r="F26" s="2">
        <v>1</v>
      </c>
      <c r="G26" s="2">
        <v>2</v>
      </c>
      <c r="H26" s="2">
        <v>3</v>
      </c>
      <c r="I26" s="2">
        <v>4</v>
      </c>
      <c r="J26" s="2">
        <v>5</v>
      </c>
      <c r="K26" s="2">
        <v>6</v>
      </c>
      <c r="L26" s="2">
        <v>7</v>
      </c>
      <c r="M26" s="2">
        <v>8</v>
      </c>
      <c r="N26" s="2">
        <v>9</v>
      </c>
      <c r="O26" s="2">
        <v>10</v>
      </c>
      <c r="P26" s="2">
        <v>11</v>
      </c>
      <c r="Q26" s="2">
        <v>12</v>
      </c>
      <c r="R26" s="3" t="s">
        <v>9</v>
      </c>
    </row>
    <row r="27" spans="5:18" x14ac:dyDescent="0.35">
      <c r="E27" s="3" t="s">
        <v>1</v>
      </c>
      <c r="F27" s="4" t="s">
        <v>77</v>
      </c>
      <c r="G27" s="4" t="s">
        <v>77</v>
      </c>
      <c r="H27" s="4" t="s">
        <v>77</v>
      </c>
      <c r="I27" s="4" t="s">
        <v>77</v>
      </c>
      <c r="J27" s="4" t="s">
        <v>77</v>
      </c>
      <c r="K27" s="4" t="s">
        <v>77</v>
      </c>
      <c r="L27" s="4" t="s">
        <v>87</v>
      </c>
      <c r="M27" s="40" t="s">
        <v>91</v>
      </c>
      <c r="N27" s="4"/>
      <c r="O27" s="4"/>
      <c r="P27" s="4"/>
      <c r="Q27" s="4"/>
    </row>
    <row r="28" spans="5:18" ht="15" thickBot="1" x14ac:dyDescent="0.4">
      <c r="E28" s="3"/>
      <c r="F28" s="5"/>
      <c r="G28" s="5"/>
      <c r="H28" s="5"/>
      <c r="I28" s="5"/>
      <c r="J28" s="5"/>
      <c r="K28" s="5"/>
      <c r="L28" s="5"/>
      <c r="M28" s="41"/>
      <c r="N28" s="5"/>
      <c r="O28" s="5"/>
      <c r="P28" s="5"/>
      <c r="Q28" s="5"/>
      <c r="R28" s="18"/>
    </row>
    <row r="29" spans="5:18" x14ac:dyDescent="0.35">
      <c r="E29" s="3" t="s">
        <v>2</v>
      </c>
      <c r="F29" s="4" t="s">
        <v>77</v>
      </c>
      <c r="G29" s="4" t="s">
        <v>77</v>
      </c>
      <c r="H29" s="4" t="s">
        <v>77</v>
      </c>
      <c r="I29" s="4" t="s">
        <v>77</v>
      </c>
      <c r="J29" s="4" t="s">
        <v>77</v>
      </c>
      <c r="K29" s="4" t="s">
        <v>77</v>
      </c>
      <c r="L29" s="40" t="s">
        <v>87</v>
      </c>
      <c r="M29" s="40" t="s">
        <v>91</v>
      </c>
      <c r="N29" s="4"/>
      <c r="O29" s="4"/>
      <c r="P29" s="4"/>
      <c r="Q29" s="4"/>
    </row>
    <row r="30" spans="5:18" ht="15" thickBot="1" x14ac:dyDescent="0.4">
      <c r="E30" s="3"/>
      <c r="F30" s="5"/>
      <c r="G30" s="5"/>
      <c r="H30" s="5"/>
      <c r="I30" s="5"/>
      <c r="J30" s="5"/>
      <c r="K30" s="5"/>
      <c r="L30" s="41"/>
      <c r="M30" s="41"/>
      <c r="N30" s="5"/>
      <c r="O30" s="5"/>
      <c r="P30" s="5"/>
      <c r="Q30" s="5"/>
      <c r="R30" s="18"/>
    </row>
    <row r="31" spans="5:18" x14ac:dyDescent="0.35">
      <c r="E31" s="3" t="s">
        <v>3</v>
      </c>
      <c r="F31" s="4" t="s">
        <v>77</v>
      </c>
      <c r="G31" s="4" t="s">
        <v>77</v>
      </c>
      <c r="H31" s="40" t="s">
        <v>77</v>
      </c>
      <c r="I31" s="4" t="s">
        <v>77</v>
      </c>
      <c r="J31" s="4" t="s">
        <v>77</v>
      </c>
      <c r="K31" s="40" t="s">
        <v>77</v>
      </c>
      <c r="L31" s="47" t="s">
        <v>86</v>
      </c>
      <c r="M31" s="40" t="s">
        <v>92</v>
      </c>
      <c r="N31" s="4"/>
      <c r="O31" s="4"/>
      <c r="P31" s="4"/>
      <c r="Q31" s="4"/>
    </row>
    <row r="32" spans="5:18" ht="15" thickBot="1" x14ac:dyDescent="0.4">
      <c r="E32" s="3"/>
      <c r="F32" s="5"/>
      <c r="G32" s="5"/>
      <c r="H32" s="41"/>
      <c r="I32" s="5"/>
      <c r="J32" s="5"/>
      <c r="K32" s="41"/>
      <c r="L32" s="48"/>
      <c r="M32" s="41"/>
      <c r="N32" s="5"/>
      <c r="O32" s="5"/>
      <c r="P32" s="5"/>
      <c r="Q32" s="5"/>
      <c r="R32" s="18"/>
    </row>
    <row r="33" spans="5:18" x14ac:dyDescent="0.35">
      <c r="E33" s="3" t="s">
        <v>4</v>
      </c>
      <c r="F33" s="4" t="s">
        <v>77</v>
      </c>
      <c r="G33" s="4" t="s">
        <v>77</v>
      </c>
      <c r="H33" s="4" t="s">
        <v>77</v>
      </c>
      <c r="I33" s="4" t="s">
        <v>77</v>
      </c>
      <c r="J33" s="4" t="s">
        <v>77</v>
      </c>
      <c r="K33" s="4" t="s">
        <v>77</v>
      </c>
      <c r="L33" s="47" t="s">
        <v>86</v>
      </c>
      <c r="M33" s="4" t="s">
        <v>93</v>
      </c>
      <c r="N33" s="4"/>
      <c r="O33" s="4"/>
      <c r="P33" s="4"/>
      <c r="Q33" s="4"/>
    </row>
    <row r="34" spans="5:18" ht="15" thickBot="1" x14ac:dyDescent="0.4">
      <c r="E34" s="3"/>
      <c r="F34" s="5"/>
      <c r="G34" s="5"/>
      <c r="H34" s="5"/>
      <c r="I34" s="5"/>
      <c r="J34" s="5"/>
      <c r="K34" s="5"/>
      <c r="L34" s="48"/>
      <c r="M34" s="5"/>
      <c r="N34" s="5"/>
      <c r="O34" s="5"/>
      <c r="P34" s="5"/>
      <c r="Q34" s="5"/>
      <c r="R34" s="18"/>
    </row>
    <row r="35" spans="5:18" x14ac:dyDescent="0.35">
      <c r="E35" s="3" t="s">
        <v>5</v>
      </c>
      <c r="F35" s="4" t="s">
        <v>77</v>
      </c>
      <c r="G35" s="4" t="s">
        <v>77</v>
      </c>
      <c r="H35" s="4" t="s">
        <v>77</v>
      </c>
      <c r="I35" s="4" t="s">
        <v>77</v>
      </c>
      <c r="J35" s="4" t="s">
        <v>77</v>
      </c>
      <c r="K35" s="4" t="s">
        <v>77</v>
      </c>
      <c r="L35" s="4" t="s">
        <v>78</v>
      </c>
      <c r="M35" s="4" t="s">
        <v>94</v>
      </c>
      <c r="N35" s="4"/>
      <c r="O35" s="4"/>
      <c r="P35" s="4"/>
      <c r="Q35" s="4"/>
    </row>
    <row r="36" spans="5:18" ht="15" thickBot="1" x14ac:dyDescent="0.4">
      <c r="E36" s="3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18"/>
    </row>
    <row r="37" spans="5:18" x14ac:dyDescent="0.35">
      <c r="E37" s="3" t="s">
        <v>6</v>
      </c>
      <c r="F37" s="4" t="s">
        <v>77</v>
      </c>
      <c r="G37" s="4" t="s">
        <v>77</v>
      </c>
      <c r="H37" s="4" t="s">
        <v>77</v>
      </c>
      <c r="I37" s="4" t="s">
        <v>77</v>
      </c>
      <c r="J37" s="4" t="s">
        <v>77</v>
      </c>
      <c r="K37" s="4" t="s">
        <v>77</v>
      </c>
      <c r="L37" s="4" t="s">
        <v>78</v>
      </c>
      <c r="M37" s="4" t="s">
        <v>95</v>
      </c>
      <c r="N37" s="4"/>
      <c r="O37" s="4"/>
      <c r="P37" s="4"/>
      <c r="Q37" s="4"/>
    </row>
    <row r="38" spans="5:18" ht="15" thickBot="1" x14ac:dyDescent="0.4">
      <c r="E38" s="3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18"/>
    </row>
    <row r="39" spans="5:18" x14ac:dyDescent="0.35">
      <c r="E39" s="3" t="s">
        <v>7</v>
      </c>
      <c r="F39" s="40" t="s">
        <v>77</v>
      </c>
      <c r="G39" s="4" t="s">
        <v>77</v>
      </c>
      <c r="H39" s="4" t="s">
        <v>77</v>
      </c>
      <c r="I39" s="4" t="s">
        <v>77</v>
      </c>
      <c r="J39" s="4" t="s">
        <v>77</v>
      </c>
      <c r="K39" s="4" t="s">
        <v>77</v>
      </c>
      <c r="L39" s="47" t="s">
        <v>75</v>
      </c>
      <c r="M39" s="4" t="s">
        <v>96</v>
      </c>
      <c r="N39" s="4"/>
      <c r="O39" s="4"/>
      <c r="P39" s="4"/>
      <c r="Q39" s="4"/>
    </row>
    <row r="40" spans="5:18" ht="15" thickBot="1" x14ac:dyDescent="0.4">
      <c r="E40" s="3"/>
      <c r="F40" s="41"/>
      <c r="G40" s="5"/>
      <c r="H40" s="5"/>
      <c r="I40" s="5"/>
      <c r="J40" s="5"/>
      <c r="K40" s="5"/>
      <c r="L40" s="48"/>
      <c r="M40" s="5"/>
      <c r="N40" s="5"/>
      <c r="O40" s="5"/>
      <c r="P40" s="5"/>
      <c r="Q40" s="5"/>
    </row>
    <row r="41" spans="5:18" x14ac:dyDescent="0.35">
      <c r="E41" s="3" t="s">
        <v>8</v>
      </c>
      <c r="F41" s="40" t="s">
        <v>77</v>
      </c>
      <c r="G41" s="4" t="s">
        <v>77</v>
      </c>
      <c r="H41" s="4" t="s">
        <v>77</v>
      </c>
      <c r="I41" s="4" t="s">
        <v>77</v>
      </c>
      <c r="J41" s="4" t="s">
        <v>77</v>
      </c>
      <c r="K41" s="4" t="s">
        <v>77</v>
      </c>
      <c r="L41" s="47" t="s">
        <v>75</v>
      </c>
      <c r="M41" s="47" t="s">
        <v>97</v>
      </c>
      <c r="N41" s="4"/>
      <c r="O41" s="4"/>
      <c r="P41" s="4"/>
      <c r="Q41" s="4"/>
    </row>
    <row r="42" spans="5:18" ht="15" thickBot="1" x14ac:dyDescent="0.4">
      <c r="E42" s="3"/>
      <c r="F42" s="41"/>
      <c r="G42" s="5"/>
      <c r="H42" s="5"/>
      <c r="I42" s="5"/>
      <c r="J42" s="5"/>
      <c r="K42" s="5"/>
      <c r="L42" s="48"/>
      <c r="M42" s="48"/>
      <c r="N42" s="5"/>
      <c r="O42" s="5"/>
      <c r="P42" s="5"/>
      <c r="Q42" s="5"/>
    </row>
    <row r="44" spans="5:18" x14ac:dyDescent="0.35">
      <c r="E44" t="s">
        <v>113</v>
      </c>
    </row>
    <row r="45" spans="5:18" x14ac:dyDescent="0.35">
      <c r="E45" s="38" t="s">
        <v>83</v>
      </c>
      <c r="F45" s="39">
        <v>45630</v>
      </c>
    </row>
    <row r="46" spans="5:18" x14ac:dyDescent="0.35">
      <c r="F46" s="49">
        <v>0.41666666666666669</v>
      </c>
    </row>
    <row r="47" spans="5:18" ht="15" thickBot="1" x14ac:dyDescent="0.4">
      <c r="E47" s="2">
        <v>4</v>
      </c>
      <c r="F47" s="2">
        <v>5</v>
      </c>
    </row>
    <row r="48" spans="5:18" x14ac:dyDescent="0.35">
      <c r="E48" s="4" t="s">
        <v>91</v>
      </c>
      <c r="F48" s="4" t="s">
        <v>91</v>
      </c>
    </row>
    <row r="49" spans="5:6" ht="15" thickBot="1" x14ac:dyDescent="0.4">
      <c r="E49" s="5"/>
      <c r="F49" s="5"/>
    </row>
    <row r="50" spans="5:6" x14ac:dyDescent="0.35">
      <c r="E50" s="4" t="s">
        <v>101</v>
      </c>
      <c r="F50" s="4" t="s">
        <v>101</v>
      </c>
    </row>
    <row r="51" spans="5:6" ht="15" thickBot="1" x14ac:dyDescent="0.4">
      <c r="E51" s="5"/>
      <c r="F51" s="5"/>
    </row>
    <row r="52" spans="5:6" x14ac:dyDescent="0.35">
      <c r="E52" s="4" t="s">
        <v>102</v>
      </c>
      <c r="F52" s="4" t="s">
        <v>102</v>
      </c>
    </row>
    <row r="53" spans="5:6" ht="15" thickBot="1" x14ac:dyDescent="0.4">
      <c r="E53" s="5"/>
      <c r="F53" s="5"/>
    </row>
    <row r="54" spans="5:6" x14ac:dyDescent="0.35">
      <c r="E54" s="4" t="s">
        <v>106</v>
      </c>
      <c r="F54" s="4" t="s">
        <v>106</v>
      </c>
    </row>
    <row r="55" spans="5:6" ht="15" thickBot="1" x14ac:dyDescent="0.4">
      <c r="E55" s="5"/>
      <c r="F55" s="5"/>
    </row>
    <row r="56" spans="5:6" x14ac:dyDescent="0.35">
      <c r="E56" s="4" t="s">
        <v>107</v>
      </c>
      <c r="F56" s="4" t="s">
        <v>107</v>
      </c>
    </row>
    <row r="57" spans="5:6" ht="15" thickBot="1" x14ac:dyDescent="0.4">
      <c r="E57" s="5"/>
      <c r="F57" s="5"/>
    </row>
    <row r="58" spans="5:6" x14ac:dyDescent="0.35">
      <c r="E58" s="4" t="s">
        <v>87</v>
      </c>
      <c r="F58" s="4" t="s">
        <v>87</v>
      </c>
    </row>
    <row r="59" spans="5:6" ht="15" thickBot="1" x14ac:dyDescent="0.4">
      <c r="E59" s="5"/>
      <c r="F59" s="5"/>
    </row>
    <row r="60" spans="5:6" x14ac:dyDescent="0.35">
      <c r="E60" s="4" t="s">
        <v>87</v>
      </c>
      <c r="F60" s="4" t="s">
        <v>87</v>
      </c>
    </row>
    <row r="61" spans="5:6" ht="15" thickBot="1" x14ac:dyDescent="0.4">
      <c r="E61" s="5"/>
      <c r="F61" s="5"/>
    </row>
    <row r="62" spans="5:6" x14ac:dyDescent="0.35">
      <c r="E62" s="4" t="s">
        <v>78</v>
      </c>
      <c r="F62" s="4" t="s">
        <v>78</v>
      </c>
    </row>
    <row r="63" spans="5:6" ht="15" thickBot="1" x14ac:dyDescent="0.4">
      <c r="E63" s="5"/>
      <c r="F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CSC I 077</vt:lpstr>
      <vt:lpstr>Medium</vt:lpstr>
      <vt:lpstr>cell lysis</vt:lpstr>
      <vt:lpstr>assay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Carsten Schotte</dc:creator>
  <cp:lastModifiedBy>Mu-En Chung</cp:lastModifiedBy>
  <cp:lastPrinted>2024-12-09T12:39:44Z</cp:lastPrinted>
  <dcterms:created xsi:type="dcterms:W3CDTF">2024-07-04T11:03:40Z</dcterms:created>
  <dcterms:modified xsi:type="dcterms:W3CDTF">2024-12-30T09:09:28Z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2024-07-04T12:13:23Z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5b33be0e-1dcb-43a8-a736-510236a7e318</vt:lpwstr>
  </property>
  <property fmtid="{D5CDD505-2E9C-101B-9397-08002B2CF9AE}" pid="8" name="MSIP_Label_2c76c141-ac86-40e5-abf2-c6f60e474cee_ContentBits">
    <vt:lpwstr>2</vt:lpwstr>
  </property>
</Properties>
</file>